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Underwriting &amp; Pricing\data\shared\Pricing &amp; Planning\Motor\Jim\Apprenticeship\Assessments\T3 Professional Portfolio\Impact Evaluation\"/>
    </mc:Choice>
  </mc:AlternateContent>
  <xr:revisionPtr revIDLastSave="0" documentId="13_ncr:1_{FC9D3F3A-73C5-4438-A58A-A78855677128}" xr6:coauthVersionLast="47" xr6:coauthVersionMax="47" xr10:uidLastSave="{00000000-0000-0000-0000-000000000000}"/>
  <bookViews>
    <workbookView xWindow="-108" yWindow="-108" windowWidth="23256" windowHeight="12576" tabRatio="888" firstSheet="5" activeTab="14" xr2:uid="{00000000-000D-0000-FFFF-FFFF00000000}"/>
  </bookViews>
  <sheets>
    <sheet name="OVERVIEW" sheetId="9" r:id="rId1"/>
    <sheet name="1a. Original Dataset Format" sheetId="1" r:id="rId2"/>
    <sheet name="1. Set Files" sheetId="11" r:id="rId3"/>
    <sheet name="1b. Dataset in R" sheetId="10" r:id="rId4"/>
    <sheet name="2. Data Constraints" sheetId="2" r:id="rId5"/>
    <sheet name="2b. Dataset in R" sheetId="14" r:id="rId6"/>
    <sheet name="3a. Character Columns to Hotkey" sheetId="3" r:id="rId7"/>
    <sheet name="3b. Columns to Drop" sheetId="4" r:id="rId8"/>
    <sheet name="3c. Format Columns" sheetId="5" r:id="rId9"/>
    <sheet name="3d. Feature Engineering" sheetId="6" r:id="rId10"/>
    <sheet name="4. New Dataset" sheetId="8" r:id="rId11"/>
    <sheet name="6. Factors to Include" sheetId="15" r:id="rId12"/>
    <sheet name="8a. Rename" sheetId="16" r:id="rId13"/>
    <sheet name="8b. Assignment" sheetId="17" r:id="rId14"/>
    <sheet name="Tree" sheetId="21" r:id="rId15"/>
    <sheet name="9. RF" sheetId="20" r:id="rId16"/>
  </sheets>
  <definedNames>
    <definedName name="_xlnm._FilterDatabase" localSheetId="1" hidden="1">'1a. Original Dataset Format'!$A$1:$G$1</definedName>
    <definedName name="_xlnm._FilterDatabase" localSheetId="3" hidden="1">'1b. Dataset in R'!$A$1:$B$471</definedName>
    <definedName name="_xlnm._FilterDatabase" localSheetId="5" hidden="1">'2b. Dataset in R'!$A$1:$J$292</definedName>
    <definedName name="_xlnm._FilterDatabase" localSheetId="10" hidden="1">'4. New Dataset'!$A$1:$F$2879</definedName>
    <definedName name="NumLevels">'8b. Assignment'!$C$2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3" i="17" l="1"/>
  <c r="C33" i="17" s="1"/>
  <c r="I33" i="17"/>
  <c r="H33" i="17" s="1"/>
  <c r="J33" i="17"/>
  <c r="V33" i="17"/>
  <c r="W33" i="17"/>
  <c r="B34" i="17"/>
  <c r="C34" i="17" s="1"/>
  <c r="I34" i="17"/>
  <c r="H34" i="17" s="1"/>
  <c r="J34" i="17"/>
  <c r="V34" i="17"/>
  <c r="W34" i="17"/>
  <c r="B35" i="17"/>
  <c r="C35" i="17" s="1"/>
  <c r="I35" i="17"/>
  <c r="H35" i="17" s="1"/>
  <c r="S35" i="17" s="1"/>
  <c r="J35" i="17"/>
  <c r="V35" i="17"/>
  <c r="B36" i="17"/>
  <c r="C36" i="17" s="1"/>
  <c r="I36" i="17"/>
  <c r="H36" i="17" s="1"/>
  <c r="S36" i="17" s="1"/>
  <c r="J36" i="17"/>
  <c r="V36" i="17"/>
  <c r="B37" i="17"/>
  <c r="C37" i="17" s="1"/>
  <c r="I37" i="17"/>
  <c r="H37" i="17" s="1"/>
  <c r="S37" i="17" s="1"/>
  <c r="J37" i="17"/>
  <c r="V37" i="17"/>
  <c r="B38" i="17"/>
  <c r="C38" i="17" s="1"/>
  <c r="I38" i="17"/>
  <c r="H38" i="17" s="1"/>
  <c r="S38" i="17" s="1"/>
  <c r="J38" i="17"/>
  <c r="V38" i="17"/>
  <c r="B39" i="17"/>
  <c r="C39" i="17" s="1"/>
  <c r="I39" i="17"/>
  <c r="J39" i="17"/>
  <c r="V39" i="17"/>
  <c r="B40" i="17"/>
  <c r="C40" i="17" s="1"/>
  <c r="I40" i="17"/>
  <c r="J40" i="17"/>
  <c r="V40" i="17"/>
  <c r="B41" i="17"/>
  <c r="C41" i="17" s="1"/>
  <c r="I41" i="17"/>
  <c r="J41" i="17"/>
  <c r="V41" i="17"/>
  <c r="B42" i="17"/>
  <c r="C42" i="17" s="1"/>
  <c r="I42" i="17"/>
  <c r="J42" i="17"/>
  <c r="V42" i="17"/>
  <c r="B43" i="17"/>
  <c r="C43" i="17" s="1"/>
  <c r="J43" i="17"/>
  <c r="V43" i="17"/>
  <c r="B44" i="17"/>
  <c r="J44" i="17"/>
  <c r="V44" i="17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F38" i="14"/>
  <c r="G38" i="14" s="1"/>
  <c r="H38" i="14" s="1"/>
  <c r="F39" i="14"/>
  <c r="G39" i="14" s="1"/>
  <c r="H39" i="14" s="1"/>
  <c r="F40" i="14"/>
  <c r="G40" i="14" s="1"/>
  <c r="H40" i="14" s="1"/>
  <c r="F41" i="14"/>
  <c r="G41" i="14" s="1"/>
  <c r="H41" i="14" s="1"/>
  <c r="F42" i="14"/>
  <c r="G42" i="14" s="1"/>
  <c r="H42" i="14" s="1"/>
  <c r="F43" i="14"/>
  <c r="G43" i="14" s="1"/>
  <c r="H43" i="14" s="1"/>
  <c r="F44" i="14"/>
  <c r="G44" i="14" s="1"/>
  <c r="H44" i="14" s="1"/>
  <c r="F45" i="14"/>
  <c r="G45" i="14"/>
  <c r="H45" i="14" s="1"/>
  <c r="F46" i="14"/>
  <c r="G46" i="14"/>
  <c r="H46" i="14" s="1"/>
  <c r="F47" i="14"/>
  <c r="G47" i="14" s="1"/>
  <c r="H47" i="14" s="1"/>
  <c r="F48" i="14"/>
  <c r="G48" i="14"/>
  <c r="H48" i="14" s="1"/>
  <c r="F49" i="14"/>
  <c r="G49" i="14" s="1"/>
  <c r="H49" i="14" s="1"/>
  <c r="F50" i="14"/>
  <c r="G50" i="14" s="1"/>
  <c r="H50" i="14" s="1"/>
  <c r="F51" i="14"/>
  <c r="G51" i="14" s="1"/>
  <c r="H51" i="14" s="1"/>
  <c r="F52" i="14"/>
  <c r="G52" i="14" s="1"/>
  <c r="H52" i="14" s="1"/>
  <c r="F53" i="14"/>
  <c r="G53" i="14"/>
  <c r="H53" i="14" s="1"/>
  <c r="F54" i="14"/>
  <c r="G54" i="14" s="1"/>
  <c r="H54" i="14" s="1"/>
  <c r="F55" i="14"/>
  <c r="G55" i="14" s="1"/>
  <c r="H55" i="14" s="1"/>
  <c r="F56" i="14"/>
  <c r="G56" i="14" s="1"/>
  <c r="H56" i="14" s="1"/>
  <c r="F57" i="14"/>
  <c r="G57" i="14" s="1"/>
  <c r="H57" i="14" s="1"/>
  <c r="F58" i="14"/>
  <c r="G58" i="14" s="1"/>
  <c r="H58" i="14" s="1"/>
  <c r="F59" i="14"/>
  <c r="G59" i="14" s="1"/>
  <c r="H59" i="14" s="1"/>
  <c r="F60" i="14"/>
  <c r="G60" i="14" s="1"/>
  <c r="H60" i="14" s="1"/>
  <c r="F61" i="14"/>
  <c r="G61" i="14"/>
  <c r="H61" i="14" s="1"/>
  <c r="F62" i="14"/>
  <c r="G62" i="14"/>
  <c r="H62" i="14" s="1"/>
  <c r="F63" i="14"/>
  <c r="G63" i="14" s="1"/>
  <c r="H63" i="14" s="1"/>
  <c r="F64" i="14"/>
  <c r="G64" i="14"/>
  <c r="H64" i="14" s="1"/>
  <c r="F65" i="14"/>
  <c r="G65" i="14" s="1"/>
  <c r="H65" i="14" s="1"/>
  <c r="F66" i="14"/>
  <c r="G66" i="14" s="1"/>
  <c r="H66" i="14" s="1"/>
  <c r="F67" i="14"/>
  <c r="G67" i="14" s="1"/>
  <c r="H67" i="14" s="1"/>
  <c r="F68" i="14"/>
  <c r="G68" i="14" s="1"/>
  <c r="H68" i="14" s="1"/>
  <c r="F69" i="14"/>
  <c r="G69" i="14"/>
  <c r="H69" i="14" s="1"/>
  <c r="F70" i="14"/>
  <c r="G70" i="14" s="1"/>
  <c r="H70" i="14" s="1"/>
  <c r="F71" i="14"/>
  <c r="G71" i="14" s="1"/>
  <c r="H71" i="14" s="1"/>
  <c r="F72" i="14"/>
  <c r="G72" i="14"/>
  <c r="H72" i="14" s="1"/>
  <c r="F73" i="14"/>
  <c r="G73" i="14" s="1"/>
  <c r="H73" i="14" s="1"/>
  <c r="F74" i="14"/>
  <c r="G74" i="14" s="1"/>
  <c r="H74" i="14" s="1"/>
  <c r="F75" i="14"/>
  <c r="G75" i="14" s="1"/>
  <c r="H75" i="14" s="1"/>
  <c r="F76" i="14"/>
  <c r="G76" i="14" s="1"/>
  <c r="H76" i="14" s="1"/>
  <c r="F77" i="14"/>
  <c r="G77" i="14" s="1"/>
  <c r="H77" i="14" s="1"/>
  <c r="F78" i="14"/>
  <c r="G78" i="14"/>
  <c r="H78" i="14" s="1"/>
  <c r="F79" i="14"/>
  <c r="G79" i="14"/>
  <c r="H79" i="14" s="1"/>
  <c r="F80" i="14"/>
  <c r="G80" i="14"/>
  <c r="H80" i="14" s="1"/>
  <c r="F81" i="14"/>
  <c r="G81" i="14" s="1"/>
  <c r="H81" i="14" s="1"/>
  <c r="F82" i="14"/>
  <c r="G82" i="14" s="1"/>
  <c r="H82" i="14" s="1"/>
  <c r="F83" i="14"/>
  <c r="G83" i="14" s="1"/>
  <c r="H83" i="14" s="1"/>
  <c r="F84" i="14"/>
  <c r="G84" i="14" s="1"/>
  <c r="H84" i="14" s="1"/>
  <c r="F85" i="14"/>
  <c r="G85" i="14"/>
  <c r="H85" i="14" s="1"/>
  <c r="F86" i="14"/>
  <c r="G86" i="14" s="1"/>
  <c r="H86" i="14" s="1"/>
  <c r="F87" i="14"/>
  <c r="G87" i="14"/>
  <c r="H87" i="14" s="1"/>
  <c r="F88" i="14"/>
  <c r="G88" i="14" s="1"/>
  <c r="H88" i="14" s="1"/>
  <c r="F89" i="14"/>
  <c r="G89" i="14" s="1"/>
  <c r="H89" i="14" s="1"/>
  <c r="F90" i="14"/>
  <c r="G90" i="14" s="1"/>
  <c r="H90" i="14" s="1"/>
  <c r="F91" i="14"/>
  <c r="G91" i="14" s="1"/>
  <c r="H91" i="14" s="1"/>
  <c r="F92" i="14"/>
  <c r="G92" i="14" s="1"/>
  <c r="H92" i="14" s="1"/>
  <c r="F93" i="14"/>
  <c r="G93" i="14"/>
  <c r="H93" i="14" s="1"/>
  <c r="F94" i="14"/>
  <c r="G94" i="14"/>
  <c r="H94" i="14" s="1"/>
  <c r="F95" i="14"/>
  <c r="G95" i="14"/>
  <c r="H95" i="14" s="1"/>
  <c r="F96" i="14"/>
  <c r="G96" i="14" s="1"/>
  <c r="H96" i="14" s="1"/>
  <c r="F97" i="14"/>
  <c r="G97" i="14" s="1"/>
  <c r="H97" i="14" s="1"/>
  <c r="F98" i="14"/>
  <c r="G98" i="14" s="1"/>
  <c r="H98" i="14" s="1"/>
  <c r="F99" i="14"/>
  <c r="G99" i="14" s="1"/>
  <c r="H99" i="14" s="1"/>
  <c r="F100" i="14"/>
  <c r="G100" i="14" s="1"/>
  <c r="H100" i="14" s="1"/>
  <c r="F101" i="14"/>
  <c r="G101" i="14"/>
  <c r="H101" i="14" s="1"/>
  <c r="F102" i="14"/>
  <c r="G102" i="14"/>
  <c r="H102" i="14" s="1"/>
  <c r="F103" i="14"/>
  <c r="G103" i="14" s="1"/>
  <c r="H103" i="14" s="1"/>
  <c r="F104" i="14"/>
  <c r="G104" i="14" s="1"/>
  <c r="H104" i="14" s="1"/>
  <c r="F105" i="14"/>
  <c r="G105" i="14" s="1"/>
  <c r="H105" i="14" s="1"/>
  <c r="F106" i="14"/>
  <c r="G106" i="14" s="1"/>
  <c r="H106" i="14" s="1"/>
  <c r="F107" i="14"/>
  <c r="G107" i="14" s="1"/>
  <c r="H107" i="14" s="1"/>
  <c r="F108" i="14"/>
  <c r="G108" i="14" s="1"/>
  <c r="H108" i="14" s="1"/>
  <c r="F109" i="14"/>
  <c r="G109" i="14" s="1"/>
  <c r="H109" i="14" s="1"/>
  <c r="F110" i="14"/>
  <c r="G110" i="14"/>
  <c r="H110" i="14" s="1"/>
  <c r="F111" i="14"/>
  <c r="G111" i="14" s="1"/>
  <c r="H111" i="14" s="1"/>
  <c r="F112" i="14"/>
  <c r="G112" i="14" s="1"/>
  <c r="H112" i="14" s="1"/>
  <c r="F113" i="14"/>
  <c r="G113" i="14" s="1"/>
  <c r="H113" i="14" s="1"/>
  <c r="F114" i="14"/>
  <c r="G114" i="14" s="1"/>
  <c r="H114" i="14" s="1"/>
  <c r="F115" i="14"/>
  <c r="G115" i="14" s="1"/>
  <c r="H115" i="14" s="1"/>
  <c r="F116" i="14"/>
  <c r="G116" i="14" s="1"/>
  <c r="H116" i="14" s="1"/>
  <c r="F117" i="14"/>
  <c r="G117" i="14" s="1"/>
  <c r="H117" i="14" s="1"/>
  <c r="F118" i="14"/>
  <c r="G118" i="14" s="1"/>
  <c r="H118" i="14" s="1"/>
  <c r="F119" i="14"/>
  <c r="G119" i="14" s="1"/>
  <c r="H119" i="14" s="1"/>
  <c r="F120" i="14"/>
  <c r="G120" i="14" s="1"/>
  <c r="H120" i="14" s="1"/>
  <c r="F121" i="14"/>
  <c r="G121" i="14" s="1"/>
  <c r="H121" i="14" s="1"/>
  <c r="F122" i="14"/>
  <c r="G122" i="14" s="1"/>
  <c r="H122" i="14" s="1"/>
  <c r="F123" i="14"/>
  <c r="G123" i="14" s="1"/>
  <c r="H123" i="14" s="1"/>
  <c r="F124" i="14"/>
  <c r="G124" i="14" s="1"/>
  <c r="H124" i="14" s="1"/>
  <c r="F125" i="14"/>
  <c r="G125" i="14" s="1"/>
  <c r="H125" i="14" s="1"/>
  <c r="F126" i="14"/>
  <c r="G126" i="14"/>
  <c r="H126" i="14" s="1"/>
  <c r="F127" i="14"/>
  <c r="G127" i="14" s="1"/>
  <c r="H127" i="14" s="1"/>
  <c r="F128" i="14"/>
  <c r="G128" i="14"/>
  <c r="H128" i="14" s="1"/>
  <c r="F129" i="14"/>
  <c r="G129" i="14" s="1"/>
  <c r="H129" i="14" s="1"/>
  <c r="F130" i="14"/>
  <c r="G130" i="14" s="1"/>
  <c r="H130" i="14" s="1"/>
  <c r="F131" i="14"/>
  <c r="G131" i="14" s="1"/>
  <c r="H131" i="14" s="1"/>
  <c r="F132" i="14"/>
  <c r="G132" i="14" s="1"/>
  <c r="H132" i="14" s="1"/>
  <c r="F133" i="14"/>
  <c r="G133" i="14" s="1"/>
  <c r="H133" i="14" s="1"/>
  <c r="F134" i="14"/>
  <c r="G134" i="14" s="1"/>
  <c r="H134" i="14" s="1"/>
  <c r="F135" i="14"/>
  <c r="G135" i="14" s="1"/>
  <c r="H135" i="14" s="1"/>
  <c r="F136" i="14"/>
  <c r="G136" i="14"/>
  <c r="H136" i="14" s="1"/>
  <c r="F137" i="14"/>
  <c r="G137" i="14" s="1"/>
  <c r="H137" i="14" s="1"/>
  <c r="F138" i="14"/>
  <c r="G138" i="14" s="1"/>
  <c r="H138" i="14" s="1"/>
  <c r="F139" i="14"/>
  <c r="G139" i="14" s="1"/>
  <c r="H139" i="14" s="1"/>
  <c r="F140" i="14"/>
  <c r="G140" i="14" s="1"/>
  <c r="H140" i="14" s="1"/>
  <c r="F141" i="14"/>
  <c r="G141" i="14" s="1"/>
  <c r="H141" i="14" s="1"/>
  <c r="F142" i="14"/>
  <c r="G142" i="14" s="1"/>
  <c r="H142" i="14" s="1"/>
  <c r="F143" i="14"/>
  <c r="G143" i="14"/>
  <c r="H143" i="14" s="1"/>
  <c r="F144" i="14"/>
  <c r="G144" i="14"/>
  <c r="H144" i="14" s="1"/>
  <c r="F145" i="14"/>
  <c r="G145" i="14" s="1"/>
  <c r="H145" i="14" s="1"/>
  <c r="F146" i="14"/>
  <c r="G146" i="14" s="1"/>
  <c r="H146" i="14" s="1"/>
  <c r="F147" i="14"/>
  <c r="G147" i="14" s="1"/>
  <c r="H147" i="14" s="1"/>
  <c r="F148" i="14"/>
  <c r="G148" i="14" s="1"/>
  <c r="H148" i="14" s="1"/>
  <c r="F149" i="14"/>
  <c r="G149" i="14"/>
  <c r="H149" i="14" s="1"/>
  <c r="F150" i="14"/>
  <c r="G150" i="14" s="1"/>
  <c r="H150" i="14" s="1"/>
  <c r="F151" i="14"/>
  <c r="G151" i="14"/>
  <c r="H151" i="14" s="1"/>
  <c r="F152" i="14"/>
  <c r="G152" i="14" s="1"/>
  <c r="H152" i="14" s="1"/>
  <c r="F153" i="14"/>
  <c r="G153" i="14" s="1"/>
  <c r="H153" i="14" s="1"/>
  <c r="F154" i="14"/>
  <c r="G154" i="14" s="1"/>
  <c r="H154" i="14" s="1"/>
  <c r="F155" i="14"/>
  <c r="G155" i="14" s="1"/>
  <c r="H155" i="14" s="1"/>
  <c r="F156" i="14"/>
  <c r="G156" i="14" s="1"/>
  <c r="H156" i="14" s="1"/>
  <c r="F157" i="14"/>
  <c r="G157" i="14"/>
  <c r="H157" i="14" s="1"/>
  <c r="F158" i="14"/>
  <c r="G158" i="14"/>
  <c r="H158" i="14" s="1"/>
  <c r="F159" i="14"/>
  <c r="G159" i="14"/>
  <c r="H159" i="14" s="1"/>
  <c r="F160" i="14"/>
  <c r="G160" i="14"/>
  <c r="H160" i="14" s="1"/>
  <c r="F161" i="14"/>
  <c r="G161" i="14" s="1"/>
  <c r="H161" i="14" s="1"/>
  <c r="F162" i="14"/>
  <c r="G162" i="14" s="1"/>
  <c r="H162" i="14" s="1"/>
  <c r="F163" i="14"/>
  <c r="G163" i="14" s="1"/>
  <c r="H163" i="14" s="1"/>
  <c r="F164" i="14"/>
  <c r="G164" i="14" s="1"/>
  <c r="H164" i="14" s="1"/>
  <c r="F165" i="14"/>
  <c r="G165" i="14"/>
  <c r="H165" i="14" s="1"/>
  <c r="F166" i="14"/>
  <c r="G166" i="14"/>
  <c r="H166" i="14" s="1"/>
  <c r="F167" i="14"/>
  <c r="G167" i="14" s="1"/>
  <c r="H167" i="14" s="1"/>
  <c r="F168" i="14"/>
  <c r="G168" i="14" s="1"/>
  <c r="H168" i="14" s="1"/>
  <c r="F169" i="14"/>
  <c r="G169" i="14" s="1"/>
  <c r="H169" i="14" s="1"/>
  <c r="F170" i="14"/>
  <c r="G170" i="14" s="1"/>
  <c r="H170" i="14" s="1"/>
  <c r="F171" i="14"/>
  <c r="G171" i="14" s="1"/>
  <c r="H171" i="14" s="1"/>
  <c r="F172" i="14"/>
  <c r="G172" i="14" s="1"/>
  <c r="H172" i="14" s="1"/>
  <c r="F173" i="14"/>
  <c r="G173" i="14" s="1"/>
  <c r="H173" i="14" s="1"/>
  <c r="F174" i="14"/>
  <c r="G174" i="14"/>
  <c r="H174" i="14" s="1"/>
  <c r="F175" i="14"/>
  <c r="G175" i="14"/>
  <c r="H175" i="14" s="1"/>
  <c r="F176" i="14"/>
  <c r="G176" i="14" s="1"/>
  <c r="H176" i="14" s="1"/>
  <c r="F177" i="14"/>
  <c r="G177" i="14" s="1"/>
  <c r="H177" i="14" s="1"/>
  <c r="F178" i="14"/>
  <c r="G178" i="14" s="1"/>
  <c r="H178" i="14" s="1"/>
  <c r="F179" i="14"/>
  <c r="G179" i="14" s="1"/>
  <c r="H179" i="14" s="1"/>
  <c r="F180" i="14"/>
  <c r="G180" i="14" s="1"/>
  <c r="H180" i="14" s="1"/>
  <c r="F181" i="14"/>
  <c r="G181" i="14"/>
  <c r="H181" i="14" s="1"/>
  <c r="F182" i="14"/>
  <c r="G182" i="14" s="1"/>
  <c r="H182" i="14" s="1"/>
  <c r="F183" i="14"/>
  <c r="G183" i="14" s="1"/>
  <c r="H183" i="14" s="1"/>
  <c r="F184" i="14"/>
  <c r="G184" i="14" s="1"/>
  <c r="H184" i="14" s="1"/>
  <c r="F185" i="14"/>
  <c r="G185" i="14" s="1"/>
  <c r="H185" i="14" s="1"/>
  <c r="F186" i="14"/>
  <c r="G186" i="14" s="1"/>
  <c r="H186" i="14" s="1"/>
  <c r="F187" i="14"/>
  <c r="G187" i="14" s="1"/>
  <c r="H187" i="14" s="1"/>
  <c r="F188" i="14"/>
  <c r="G188" i="14" s="1"/>
  <c r="H188" i="14" s="1"/>
  <c r="F189" i="14"/>
  <c r="G189" i="14" s="1"/>
  <c r="H189" i="14" s="1"/>
  <c r="F190" i="14"/>
  <c r="G190" i="14"/>
  <c r="H190" i="14" s="1"/>
  <c r="F191" i="14"/>
  <c r="G191" i="14" s="1"/>
  <c r="H191" i="14" s="1"/>
  <c r="F192" i="14"/>
  <c r="G192" i="14"/>
  <c r="H192" i="14" s="1"/>
  <c r="F193" i="14"/>
  <c r="G193" i="14" s="1"/>
  <c r="H193" i="14" s="1"/>
  <c r="F194" i="14"/>
  <c r="G194" i="14" s="1"/>
  <c r="H194" i="14" s="1"/>
  <c r="F195" i="14"/>
  <c r="G195" i="14" s="1"/>
  <c r="H195" i="14" s="1"/>
  <c r="F196" i="14"/>
  <c r="G196" i="14" s="1"/>
  <c r="H196" i="14" s="1"/>
  <c r="F197" i="14"/>
  <c r="G197" i="14" s="1"/>
  <c r="H197" i="14" s="1"/>
  <c r="F198" i="14"/>
  <c r="G198" i="14" s="1"/>
  <c r="H198" i="14" s="1"/>
  <c r="F199" i="14"/>
  <c r="G199" i="14" s="1"/>
  <c r="H199" i="14" s="1"/>
  <c r="F200" i="14"/>
  <c r="G200" i="14"/>
  <c r="H200" i="14" s="1"/>
  <c r="F201" i="14"/>
  <c r="G201" i="14" s="1"/>
  <c r="H201" i="14" s="1"/>
  <c r="F202" i="14"/>
  <c r="G202" i="14" s="1"/>
  <c r="H202" i="14" s="1"/>
  <c r="F203" i="14"/>
  <c r="G203" i="14" s="1"/>
  <c r="H203" i="14" s="1"/>
  <c r="F204" i="14"/>
  <c r="G204" i="14" s="1"/>
  <c r="H204" i="14" s="1"/>
  <c r="F205" i="14"/>
  <c r="G205" i="14" s="1"/>
  <c r="H205" i="14" s="1"/>
  <c r="F206" i="14"/>
  <c r="G206" i="14" s="1"/>
  <c r="H206" i="14" s="1"/>
  <c r="F207" i="14"/>
  <c r="G207" i="14"/>
  <c r="H207" i="14" s="1"/>
  <c r="F208" i="14"/>
  <c r="G208" i="14"/>
  <c r="H208" i="14" s="1"/>
  <c r="F209" i="14"/>
  <c r="G209" i="14" s="1"/>
  <c r="H209" i="14" s="1"/>
  <c r="F210" i="14"/>
  <c r="G210" i="14" s="1"/>
  <c r="H210" i="14" s="1"/>
  <c r="F211" i="14"/>
  <c r="G211" i="14" s="1"/>
  <c r="H211" i="14" s="1"/>
  <c r="F212" i="14"/>
  <c r="G212" i="14" s="1"/>
  <c r="H212" i="14" s="1"/>
  <c r="F213" i="14"/>
  <c r="G213" i="14"/>
  <c r="H213" i="14" s="1"/>
  <c r="F214" i="14"/>
  <c r="G214" i="14"/>
  <c r="H214" i="14" s="1"/>
  <c r="F215" i="14"/>
  <c r="G215" i="14" s="1"/>
  <c r="H215" i="14" s="1"/>
  <c r="F216" i="14"/>
  <c r="G216" i="14" s="1"/>
  <c r="H216" i="14" s="1"/>
  <c r="F217" i="14"/>
  <c r="G217" i="14" s="1"/>
  <c r="H217" i="14" s="1"/>
  <c r="F218" i="14"/>
  <c r="G218" i="14" s="1"/>
  <c r="H218" i="14" s="1"/>
  <c r="F219" i="14"/>
  <c r="G219" i="14" s="1"/>
  <c r="H219" i="14" s="1"/>
  <c r="F220" i="14"/>
  <c r="G220" i="14" s="1"/>
  <c r="H220" i="14" s="1"/>
  <c r="F221" i="14"/>
  <c r="G221" i="14" s="1"/>
  <c r="H221" i="14" s="1"/>
  <c r="F222" i="14"/>
  <c r="G222" i="14"/>
  <c r="H222" i="14" s="1"/>
  <c r="F223" i="14"/>
  <c r="G223" i="14" s="1"/>
  <c r="H223" i="14" s="1"/>
  <c r="F224" i="14"/>
  <c r="G224" i="14"/>
  <c r="H224" i="14" s="1"/>
  <c r="F225" i="14"/>
  <c r="G225" i="14" s="1"/>
  <c r="H225" i="14" s="1"/>
  <c r="F226" i="14"/>
  <c r="G226" i="14" s="1"/>
  <c r="H226" i="14" s="1"/>
  <c r="F227" i="14"/>
  <c r="G227" i="14" s="1"/>
  <c r="H227" i="14" s="1"/>
  <c r="F228" i="14"/>
  <c r="G228" i="14"/>
  <c r="H228" i="14" s="1"/>
  <c r="F229" i="14"/>
  <c r="G229" i="14"/>
  <c r="H229" i="14" s="1"/>
  <c r="F230" i="14"/>
  <c r="G230" i="14" s="1"/>
  <c r="H230" i="14" s="1"/>
  <c r="F231" i="14"/>
  <c r="G231" i="14"/>
  <c r="H231" i="14" s="1"/>
  <c r="F232" i="14"/>
  <c r="G232" i="14" s="1"/>
  <c r="H232" i="14" s="1"/>
  <c r="F233" i="14"/>
  <c r="G233" i="14" s="1"/>
  <c r="H233" i="14" s="1"/>
  <c r="F234" i="14"/>
  <c r="G234" i="14" s="1"/>
  <c r="H234" i="14" s="1"/>
  <c r="F235" i="14"/>
  <c r="G235" i="14" s="1"/>
  <c r="H235" i="14" s="1"/>
  <c r="F236" i="14"/>
  <c r="G236" i="14"/>
  <c r="H236" i="14" s="1"/>
  <c r="F237" i="14"/>
  <c r="G237" i="14" s="1"/>
  <c r="H237" i="14" s="1"/>
  <c r="F238" i="14"/>
  <c r="G238" i="14" s="1"/>
  <c r="H238" i="14" s="1"/>
  <c r="F239" i="14"/>
  <c r="G239" i="14" s="1"/>
  <c r="H239" i="14" s="1"/>
  <c r="F240" i="14"/>
  <c r="G240" i="14"/>
  <c r="H240" i="14" s="1"/>
  <c r="F241" i="14"/>
  <c r="G241" i="14" s="1"/>
  <c r="H241" i="14" s="1"/>
  <c r="F242" i="14"/>
  <c r="G242" i="14" s="1"/>
  <c r="H242" i="14" s="1"/>
  <c r="F243" i="14"/>
  <c r="G243" i="14" s="1"/>
  <c r="H243" i="14" s="1"/>
  <c r="F244" i="14"/>
  <c r="G244" i="14"/>
  <c r="H244" i="14" s="1"/>
  <c r="F245" i="14"/>
  <c r="G245" i="14"/>
  <c r="H245" i="14" s="1"/>
  <c r="F246" i="14"/>
  <c r="G246" i="14" s="1"/>
  <c r="H246" i="14" s="1"/>
  <c r="F247" i="14"/>
  <c r="G247" i="14" s="1"/>
  <c r="H247" i="14" s="1"/>
  <c r="F248" i="14"/>
  <c r="G248" i="14" s="1"/>
  <c r="H248" i="14" s="1"/>
  <c r="F249" i="14"/>
  <c r="G249" i="14" s="1"/>
  <c r="H249" i="14" s="1"/>
  <c r="F250" i="14"/>
  <c r="G250" i="14" s="1"/>
  <c r="H250" i="14" s="1"/>
  <c r="F251" i="14"/>
  <c r="G251" i="14" s="1"/>
  <c r="H251" i="14" s="1"/>
  <c r="F252" i="14"/>
  <c r="G252" i="14" s="1"/>
  <c r="H252" i="14" s="1"/>
  <c r="F253" i="14"/>
  <c r="G253" i="14"/>
  <c r="H253" i="14" s="1"/>
  <c r="F254" i="14"/>
  <c r="G254" i="14" s="1"/>
  <c r="H254" i="14" s="1"/>
  <c r="F255" i="14"/>
  <c r="G255" i="14"/>
  <c r="H255" i="14" s="1"/>
  <c r="F256" i="14"/>
  <c r="G256" i="14"/>
  <c r="H256" i="14" s="1"/>
  <c r="F257" i="14"/>
  <c r="G257" i="14" s="1"/>
  <c r="H257" i="14" s="1"/>
  <c r="F258" i="14"/>
  <c r="G258" i="14" s="1"/>
  <c r="H258" i="14" s="1"/>
  <c r="F259" i="14"/>
  <c r="G259" i="14" s="1"/>
  <c r="H259" i="14" s="1"/>
  <c r="F260" i="14"/>
  <c r="G260" i="14" s="1"/>
  <c r="H260" i="14" s="1"/>
  <c r="F261" i="14"/>
  <c r="G261" i="14"/>
  <c r="H261" i="14" s="1"/>
  <c r="F262" i="14"/>
  <c r="G262" i="14"/>
  <c r="H262" i="14" s="1"/>
  <c r="F263" i="14"/>
  <c r="G263" i="14" s="1"/>
  <c r="H263" i="14" s="1"/>
  <c r="F264" i="14"/>
  <c r="G264" i="14" s="1"/>
  <c r="H264" i="14" s="1"/>
  <c r="F265" i="14"/>
  <c r="G265" i="14" s="1"/>
  <c r="H265" i="14" s="1"/>
  <c r="F266" i="14"/>
  <c r="G266" i="14" s="1"/>
  <c r="H266" i="14" s="1"/>
  <c r="F267" i="14"/>
  <c r="G267" i="14" s="1"/>
  <c r="H267" i="14" s="1"/>
  <c r="F268" i="14"/>
  <c r="G268" i="14" s="1"/>
  <c r="H268" i="14" s="1"/>
  <c r="F269" i="14"/>
  <c r="G269" i="14" s="1"/>
  <c r="H269" i="14" s="1"/>
  <c r="F270" i="14"/>
  <c r="G270" i="14"/>
  <c r="H270" i="14" s="1"/>
  <c r="F271" i="14"/>
  <c r="G271" i="14" s="1"/>
  <c r="H271" i="14" s="1"/>
  <c r="F272" i="14"/>
  <c r="G272" i="14" s="1"/>
  <c r="H272" i="14" s="1"/>
  <c r="F273" i="14"/>
  <c r="G273" i="14" s="1"/>
  <c r="H273" i="14" s="1"/>
  <c r="F274" i="14"/>
  <c r="G274" i="14" s="1"/>
  <c r="H274" i="14" s="1"/>
  <c r="F275" i="14"/>
  <c r="G275" i="14" s="1"/>
  <c r="H275" i="14" s="1"/>
  <c r="F276" i="14"/>
  <c r="G276" i="14"/>
  <c r="H276" i="14" s="1"/>
  <c r="F277" i="14"/>
  <c r="G277" i="14"/>
  <c r="H277" i="14" s="1"/>
  <c r="F278" i="14"/>
  <c r="G278" i="14"/>
  <c r="H278" i="14" s="1"/>
  <c r="F279" i="14"/>
  <c r="G279" i="14"/>
  <c r="H279" i="14" s="1"/>
  <c r="F280" i="14"/>
  <c r="G280" i="14" s="1"/>
  <c r="H280" i="14" s="1"/>
  <c r="F281" i="14"/>
  <c r="G281" i="14" s="1"/>
  <c r="H281" i="14" s="1"/>
  <c r="F282" i="14"/>
  <c r="G282" i="14" s="1"/>
  <c r="H282" i="14" s="1"/>
  <c r="F283" i="14"/>
  <c r="G283" i="14" s="1"/>
  <c r="H283" i="14" s="1"/>
  <c r="F284" i="14"/>
  <c r="G284" i="14"/>
  <c r="H284" i="14" s="1"/>
  <c r="F285" i="14"/>
  <c r="G285" i="14" s="1"/>
  <c r="H285" i="14" s="1"/>
  <c r="F286" i="14"/>
  <c r="G286" i="14"/>
  <c r="H286" i="14" s="1"/>
  <c r="F287" i="14"/>
  <c r="G287" i="14"/>
  <c r="H287" i="14" s="1"/>
  <c r="F288" i="14"/>
  <c r="G288" i="14" s="1"/>
  <c r="H288" i="14" s="1"/>
  <c r="F289" i="14"/>
  <c r="G289" i="14" s="1"/>
  <c r="H289" i="14" s="1"/>
  <c r="F290" i="14"/>
  <c r="G290" i="14" s="1"/>
  <c r="H290" i="14" s="1"/>
  <c r="F291" i="14"/>
  <c r="G291" i="14" s="1"/>
  <c r="H291" i="14" s="1"/>
  <c r="F292" i="14"/>
  <c r="G292" i="14"/>
  <c r="H292" i="14" s="1"/>
  <c r="G48" i="8"/>
  <c r="G50" i="8"/>
  <c r="G51" i="8"/>
  <c r="F37" i="14"/>
  <c r="G37" i="14" s="1"/>
  <c r="H37" i="14" s="1"/>
  <c r="B25" i="17"/>
  <c r="D25" i="17" s="1"/>
  <c r="V25" i="17"/>
  <c r="B26" i="17"/>
  <c r="D26" i="17" s="1"/>
  <c r="V26" i="17"/>
  <c r="B27" i="17"/>
  <c r="D27" i="17" s="1"/>
  <c r="V27" i="17"/>
  <c r="B28" i="17"/>
  <c r="D28" i="17" s="1"/>
  <c r="V28" i="17"/>
  <c r="B29" i="17"/>
  <c r="D29" i="17" s="1"/>
  <c r="V29" i="17"/>
  <c r="B30" i="17"/>
  <c r="D30" i="17" s="1"/>
  <c r="V30" i="17"/>
  <c r="B31" i="17"/>
  <c r="V31" i="17"/>
  <c r="B32" i="17"/>
  <c r="D32" i="17" s="1"/>
  <c r="J32" i="17"/>
  <c r="V32" i="17"/>
  <c r="F36" i="14"/>
  <c r="G36" i="14" s="1"/>
  <c r="H36" i="14" s="1"/>
  <c r="G49" i="8" s="1"/>
  <c r="B23" i="17"/>
  <c r="C23" i="17" s="1"/>
  <c r="V23" i="17"/>
  <c r="B24" i="17"/>
  <c r="C24" i="17" s="1"/>
  <c r="V24" i="17"/>
  <c r="B17" i="17"/>
  <c r="C17" i="17" s="1"/>
  <c r="V17" i="17"/>
  <c r="B18" i="17"/>
  <c r="C18" i="17" s="1"/>
  <c r="V18" i="17"/>
  <c r="B19" i="17"/>
  <c r="C19" i="17" s="1"/>
  <c r="V19" i="17"/>
  <c r="B20" i="17"/>
  <c r="C20" i="17" s="1"/>
  <c r="V20" i="17"/>
  <c r="B21" i="17"/>
  <c r="C21" i="17" s="1"/>
  <c r="V21" i="17"/>
  <c r="B22" i="17"/>
  <c r="C22" i="17" s="1"/>
  <c r="V22" i="17"/>
  <c r="G47" i="8"/>
  <c r="B11" i="17"/>
  <c r="C11" i="17" s="1"/>
  <c r="V11" i="17"/>
  <c r="B12" i="17"/>
  <c r="C12" i="17" s="1"/>
  <c r="V12" i="17"/>
  <c r="B13" i="17"/>
  <c r="C13" i="17" s="1"/>
  <c r="V13" i="17"/>
  <c r="B14" i="17"/>
  <c r="J14" i="17" s="1"/>
  <c r="V14" i="17"/>
  <c r="B15" i="17"/>
  <c r="C15" i="17" s="1"/>
  <c r="V15" i="17"/>
  <c r="B16" i="17"/>
  <c r="C16" i="17" s="1"/>
  <c r="V16" i="17"/>
  <c r="S34" i="17" l="1"/>
  <c r="G34" i="17"/>
  <c r="R34" i="17" s="1"/>
  <c r="X35" i="17"/>
  <c r="X37" i="17"/>
  <c r="S33" i="17"/>
  <c r="G33" i="17"/>
  <c r="R33" i="17" s="1"/>
  <c r="C44" i="17"/>
  <c r="L44" i="17"/>
  <c r="U44" i="17"/>
  <c r="X44" i="17" s="1"/>
  <c r="N44" i="17"/>
  <c r="P44" i="17" s="1"/>
  <c r="I44" i="17"/>
  <c r="H44" i="17" s="1"/>
  <c r="D44" i="17"/>
  <c r="M44" i="17"/>
  <c r="Z44" i="17" s="1"/>
  <c r="AB44" i="17" s="1"/>
  <c r="AA44" i="17" s="1"/>
  <c r="E44" i="17"/>
  <c r="W44" i="17"/>
  <c r="X34" i="17"/>
  <c r="H42" i="17"/>
  <c r="S42" i="17" s="1"/>
  <c r="H39" i="17"/>
  <c r="S39" i="17" s="1"/>
  <c r="G42" i="17"/>
  <c r="R42" i="17" s="1"/>
  <c r="G41" i="17"/>
  <c r="R41" i="17" s="1"/>
  <c r="G40" i="17"/>
  <c r="R40" i="17" s="1"/>
  <c r="G39" i="17"/>
  <c r="R39" i="17" s="1"/>
  <c r="G38" i="17"/>
  <c r="R38" i="17" s="1"/>
  <c r="G37" i="17"/>
  <c r="R37" i="17" s="1"/>
  <c r="G36" i="17"/>
  <c r="R36" i="17" s="1"/>
  <c r="G35" i="17"/>
  <c r="R35" i="17" s="1"/>
  <c r="F42" i="17"/>
  <c r="Q42" i="17" s="1"/>
  <c r="F38" i="17"/>
  <c r="Q38" i="17" s="1"/>
  <c r="F37" i="17"/>
  <c r="Q37" i="17" s="1"/>
  <c r="F35" i="17"/>
  <c r="Q35" i="17" s="1"/>
  <c r="F34" i="17"/>
  <c r="Q34" i="17" s="1"/>
  <c r="F33" i="17"/>
  <c r="Q33" i="17" s="1"/>
  <c r="W43" i="17"/>
  <c r="W42" i="17"/>
  <c r="W40" i="17"/>
  <c r="W39" i="17"/>
  <c r="E38" i="17"/>
  <c r="H41" i="17"/>
  <c r="S41" i="17" s="1"/>
  <c r="E43" i="17"/>
  <c r="E42" i="17"/>
  <c r="O42" i="17" s="1"/>
  <c r="N38" i="17"/>
  <c r="P38" i="17" s="1"/>
  <c r="W35" i="17"/>
  <c r="E35" i="17"/>
  <c r="O35" i="17" s="1"/>
  <c r="D43" i="17"/>
  <c r="M43" i="17" s="1"/>
  <c r="Z43" i="17" s="1"/>
  <c r="AB43" i="17" s="1"/>
  <c r="AA43" i="17" s="1"/>
  <c r="M42" i="17"/>
  <c r="Z42" i="17" s="1"/>
  <c r="AB42" i="17" s="1"/>
  <c r="AA42" i="17" s="1"/>
  <c r="D42" i="17"/>
  <c r="D41" i="17"/>
  <c r="M41" i="17" s="1"/>
  <c r="Z41" i="17" s="1"/>
  <c r="AB41" i="17" s="1"/>
  <c r="AA41" i="17" s="1"/>
  <c r="D40" i="17"/>
  <c r="N40" i="17" s="1"/>
  <c r="P40" i="17" s="1"/>
  <c r="D39" i="17"/>
  <c r="E39" i="17" s="1"/>
  <c r="M38" i="17"/>
  <c r="Z38" i="17" s="1"/>
  <c r="AB38" i="17" s="1"/>
  <c r="AA38" i="17" s="1"/>
  <c r="D38" i="17"/>
  <c r="D37" i="17"/>
  <c r="D36" i="17"/>
  <c r="D35" i="17"/>
  <c r="M35" i="17" s="1"/>
  <c r="Z35" i="17" s="1"/>
  <c r="AB35" i="17" s="1"/>
  <c r="AA35" i="17" s="1"/>
  <c r="M34" i="17"/>
  <c r="Z34" i="17" s="1"/>
  <c r="AB34" i="17" s="1"/>
  <c r="AA34" i="17" s="1"/>
  <c r="D34" i="17"/>
  <c r="D33" i="17"/>
  <c r="I43" i="17"/>
  <c r="H43" i="17" s="1"/>
  <c r="H40" i="17"/>
  <c r="S40" i="17" s="1"/>
  <c r="W41" i="17"/>
  <c r="X41" i="17" s="1"/>
  <c r="E41" i="17"/>
  <c r="E40" i="17"/>
  <c r="W38" i="17"/>
  <c r="W37" i="17"/>
  <c r="W36" i="17"/>
  <c r="U43" i="17"/>
  <c r="X43" i="17" s="1"/>
  <c r="L43" i="17"/>
  <c r="U42" i="17"/>
  <c r="X42" i="17" s="1"/>
  <c r="L42" i="17"/>
  <c r="U41" i="17"/>
  <c r="L41" i="17"/>
  <c r="U40" i="17"/>
  <c r="X40" i="17" s="1"/>
  <c r="L40" i="17"/>
  <c r="U39" i="17"/>
  <c r="X39" i="17" s="1"/>
  <c r="L39" i="17"/>
  <c r="U38" i="17"/>
  <c r="X38" i="17" s="1"/>
  <c r="L38" i="17"/>
  <c r="U37" i="17"/>
  <c r="L37" i="17"/>
  <c r="U36" i="17"/>
  <c r="X36" i="17" s="1"/>
  <c r="L36" i="17"/>
  <c r="U35" i="17"/>
  <c r="L35" i="17"/>
  <c r="U34" i="17"/>
  <c r="L34" i="17"/>
  <c r="U33" i="17"/>
  <c r="X33" i="17" s="1"/>
  <c r="L33" i="17"/>
  <c r="I28" i="17"/>
  <c r="H28" i="17" s="1"/>
  <c r="S28" i="17" s="1"/>
  <c r="I30" i="17"/>
  <c r="H30" i="17" s="1"/>
  <c r="S30" i="17" s="1"/>
  <c r="J28" i="17"/>
  <c r="J30" i="17"/>
  <c r="I32" i="17"/>
  <c r="H32" i="17" s="1"/>
  <c r="G32" i="17" s="1"/>
  <c r="J26" i="17"/>
  <c r="I26" i="17"/>
  <c r="H26" i="17" s="1"/>
  <c r="S26" i="17" s="1"/>
  <c r="C31" i="17"/>
  <c r="L31" i="17" s="1"/>
  <c r="U31" i="17"/>
  <c r="X31" i="17" s="1"/>
  <c r="W31" i="17"/>
  <c r="D31" i="17"/>
  <c r="I31" i="17"/>
  <c r="H31" i="17" s="1"/>
  <c r="S31" i="17" s="1"/>
  <c r="J31" i="17"/>
  <c r="C32" i="17"/>
  <c r="M32" i="17" s="1"/>
  <c r="Z32" i="17" s="1"/>
  <c r="AB32" i="17" s="1"/>
  <c r="U32" i="17"/>
  <c r="E32" i="17"/>
  <c r="W32" i="17"/>
  <c r="C30" i="17"/>
  <c r="M30" i="17" s="1"/>
  <c r="Z30" i="17" s="1"/>
  <c r="AB30" i="17" s="1"/>
  <c r="U30" i="17"/>
  <c r="E30" i="17"/>
  <c r="N30" i="17" s="1"/>
  <c r="P30" i="17" s="1"/>
  <c r="W30" i="17"/>
  <c r="G30" i="17"/>
  <c r="F30" i="17" s="1"/>
  <c r="J29" i="17"/>
  <c r="C28" i="17"/>
  <c r="L28" i="17" s="1"/>
  <c r="U28" i="17"/>
  <c r="E28" i="17"/>
  <c r="N28" i="17" s="1"/>
  <c r="P28" i="17" s="1"/>
  <c r="W28" i="17"/>
  <c r="G28" i="17"/>
  <c r="R28" i="17" s="1"/>
  <c r="J27" i="17"/>
  <c r="C26" i="17"/>
  <c r="L26" i="17" s="1"/>
  <c r="U26" i="17"/>
  <c r="E26" i="17"/>
  <c r="N26" i="17" s="1"/>
  <c r="P26" i="17" s="1"/>
  <c r="W26" i="17"/>
  <c r="X26" i="17" s="1"/>
  <c r="J25" i="17"/>
  <c r="S32" i="17"/>
  <c r="I29" i="17"/>
  <c r="H29" i="17" s="1"/>
  <c r="I27" i="17"/>
  <c r="H27" i="17" s="1"/>
  <c r="S27" i="17" s="1"/>
  <c r="I25" i="17"/>
  <c r="H25" i="17" s="1"/>
  <c r="S25" i="17" s="1"/>
  <c r="C29" i="17"/>
  <c r="M29" i="17" s="1"/>
  <c r="Z29" i="17" s="1"/>
  <c r="AB29" i="17" s="1"/>
  <c r="U29" i="17"/>
  <c r="E29" i="17"/>
  <c r="N29" i="17" s="1"/>
  <c r="P29" i="17" s="1"/>
  <c r="W29" i="17"/>
  <c r="C27" i="17"/>
  <c r="M27" i="17" s="1"/>
  <c r="Z27" i="17" s="1"/>
  <c r="AB27" i="17" s="1"/>
  <c r="U27" i="17"/>
  <c r="E27" i="17"/>
  <c r="W27" i="17"/>
  <c r="C25" i="17"/>
  <c r="M25" i="17" s="1"/>
  <c r="Z25" i="17" s="1"/>
  <c r="AB25" i="17" s="1"/>
  <c r="U25" i="17"/>
  <c r="E25" i="17"/>
  <c r="N25" i="17" s="1"/>
  <c r="P25" i="17" s="1"/>
  <c r="W25" i="17"/>
  <c r="I23" i="17"/>
  <c r="H23" i="17" s="1"/>
  <c r="G23" i="17" s="1"/>
  <c r="J23" i="17"/>
  <c r="I24" i="17"/>
  <c r="H24" i="17" s="1"/>
  <c r="G24" i="17" s="1"/>
  <c r="J24" i="17"/>
  <c r="W24" i="17"/>
  <c r="W23" i="17"/>
  <c r="D24" i="17"/>
  <c r="M24" i="17" s="1"/>
  <c r="Z24" i="17" s="1"/>
  <c r="AB24" i="17" s="1"/>
  <c r="D23" i="17"/>
  <c r="U24" i="17"/>
  <c r="L24" i="17"/>
  <c r="U23" i="17"/>
  <c r="L23" i="17"/>
  <c r="J22" i="17"/>
  <c r="J18" i="17"/>
  <c r="I22" i="17"/>
  <c r="H22" i="17" s="1"/>
  <c r="I21" i="17"/>
  <c r="H21" i="17" s="1"/>
  <c r="G21" i="17" s="1"/>
  <c r="I20" i="17"/>
  <c r="H20" i="17" s="1"/>
  <c r="I18" i="17"/>
  <c r="H18" i="17" s="1"/>
  <c r="G18" i="17" s="1"/>
  <c r="J17" i="17"/>
  <c r="I19" i="17"/>
  <c r="H19" i="17" s="1"/>
  <c r="I17" i="17"/>
  <c r="H17" i="17" s="1"/>
  <c r="W19" i="17"/>
  <c r="W18" i="17"/>
  <c r="J21" i="17"/>
  <c r="W22" i="17"/>
  <c r="W21" i="17"/>
  <c r="W20" i="17"/>
  <c r="W17" i="17"/>
  <c r="J20" i="17"/>
  <c r="J19" i="17"/>
  <c r="D22" i="17"/>
  <c r="D21" i="17"/>
  <c r="E21" i="17" s="1"/>
  <c r="D20" i="17"/>
  <c r="M20" i="17" s="1"/>
  <c r="Z20" i="17" s="1"/>
  <c r="AB20" i="17" s="1"/>
  <c r="D19" i="17"/>
  <c r="M19" i="17" s="1"/>
  <c r="Z19" i="17" s="1"/>
  <c r="AB19" i="17" s="1"/>
  <c r="D18" i="17"/>
  <c r="E18" i="17" s="1"/>
  <c r="D17" i="17"/>
  <c r="U22" i="17"/>
  <c r="L22" i="17"/>
  <c r="U21" i="17"/>
  <c r="L21" i="17"/>
  <c r="U20" i="17"/>
  <c r="L20" i="17"/>
  <c r="U19" i="17"/>
  <c r="L19" i="17"/>
  <c r="U18" i="17"/>
  <c r="L18" i="17"/>
  <c r="U17" i="17"/>
  <c r="L17" i="17"/>
  <c r="I16" i="17"/>
  <c r="H16" i="17" s="1"/>
  <c r="I15" i="17"/>
  <c r="H15" i="17" s="1"/>
  <c r="G15" i="17" s="1"/>
  <c r="R15" i="17" s="1"/>
  <c r="I14" i="17"/>
  <c r="H14" i="17" s="1"/>
  <c r="I13" i="17"/>
  <c r="H13" i="17" s="1"/>
  <c r="I12" i="17"/>
  <c r="H12" i="17" s="1"/>
  <c r="G12" i="17" s="1"/>
  <c r="I11" i="17"/>
  <c r="H11" i="17" s="1"/>
  <c r="G11" i="17" s="1"/>
  <c r="J12" i="17"/>
  <c r="J13" i="17"/>
  <c r="J11" i="17"/>
  <c r="W16" i="17"/>
  <c r="W15" i="17"/>
  <c r="W14" i="17"/>
  <c r="W13" i="17"/>
  <c r="W12" i="17"/>
  <c r="W11" i="17"/>
  <c r="J16" i="17"/>
  <c r="J15" i="17"/>
  <c r="D16" i="17"/>
  <c r="E16" i="17" s="1"/>
  <c r="D15" i="17"/>
  <c r="D14" i="17"/>
  <c r="D13" i="17"/>
  <c r="M13" i="17" s="1"/>
  <c r="Z13" i="17" s="1"/>
  <c r="AB13" i="17" s="1"/>
  <c r="D12" i="17"/>
  <c r="E12" i="17" s="1"/>
  <c r="D11" i="17"/>
  <c r="M11" i="17" s="1"/>
  <c r="Z11" i="17" s="1"/>
  <c r="U16" i="17"/>
  <c r="L16" i="17"/>
  <c r="U15" i="17"/>
  <c r="L15" i="17"/>
  <c r="U14" i="17"/>
  <c r="C14" i="17"/>
  <c r="U13" i="17"/>
  <c r="L13" i="17"/>
  <c r="U12" i="17"/>
  <c r="L12" i="17"/>
  <c r="U11" i="17"/>
  <c r="X11" i="17" s="1"/>
  <c r="L11" i="17"/>
  <c r="G26" i="8"/>
  <c r="G27" i="8"/>
  <c r="G28" i="8"/>
  <c r="G29" i="8"/>
  <c r="G30" i="8"/>
  <c r="G31" i="8"/>
  <c r="G32" i="8"/>
  <c r="G33" i="8"/>
  <c r="G37" i="8"/>
  <c r="G39" i="8"/>
  <c r="G41" i="8"/>
  <c r="G43" i="8"/>
  <c r="G44" i="8"/>
  <c r="F3" i="14"/>
  <c r="G3" i="14" s="1"/>
  <c r="H3" i="14" s="1"/>
  <c r="F4" i="14"/>
  <c r="G4" i="14" s="1"/>
  <c r="H4" i="14" s="1"/>
  <c r="F5" i="14"/>
  <c r="G5" i="14" s="1"/>
  <c r="H5" i="14" s="1"/>
  <c r="F6" i="14"/>
  <c r="G6" i="14" s="1"/>
  <c r="H6" i="14" s="1"/>
  <c r="F7" i="14"/>
  <c r="G7" i="14" s="1"/>
  <c r="H7" i="14" s="1"/>
  <c r="F8" i="14"/>
  <c r="G8" i="14" s="1"/>
  <c r="H8" i="14" s="1"/>
  <c r="F9" i="14"/>
  <c r="G9" i="14" s="1"/>
  <c r="H9" i="14" s="1"/>
  <c r="F10" i="14"/>
  <c r="G10" i="14" s="1"/>
  <c r="H10" i="14" s="1"/>
  <c r="F11" i="14"/>
  <c r="G11" i="14" s="1"/>
  <c r="H11" i="14" s="1"/>
  <c r="F12" i="14"/>
  <c r="G12" i="14" s="1"/>
  <c r="H12" i="14" s="1"/>
  <c r="F13" i="14"/>
  <c r="G13" i="14" s="1"/>
  <c r="H13" i="14" s="1"/>
  <c r="F14" i="14"/>
  <c r="G14" i="14" s="1"/>
  <c r="H14" i="14" s="1"/>
  <c r="F15" i="14"/>
  <c r="G15" i="14" s="1"/>
  <c r="H15" i="14" s="1"/>
  <c r="F16" i="14"/>
  <c r="G16" i="14" s="1"/>
  <c r="H16" i="14" s="1"/>
  <c r="F17" i="14"/>
  <c r="G17" i="14" s="1"/>
  <c r="H17" i="14" s="1"/>
  <c r="G20" i="8" s="1"/>
  <c r="F18" i="14"/>
  <c r="G18" i="14" s="1"/>
  <c r="H18" i="14" s="1"/>
  <c r="G34" i="8" s="1"/>
  <c r="F19" i="14"/>
  <c r="G19" i="14" s="1"/>
  <c r="H19" i="14" s="1"/>
  <c r="G35" i="8" s="1"/>
  <c r="F20" i="14"/>
  <c r="G20" i="14" s="1"/>
  <c r="H20" i="14" s="1"/>
  <c r="G36" i="8" s="1"/>
  <c r="F21" i="14"/>
  <c r="G21" i="14" s="1"/>
  <c r="H21" i="14" s="1"/>
  <c r="F22" i="14"/>
  <c r="G22" i="14" s="1"/>
  <c r="H22" i="14" s="1"/>
  <c r="G38" i="8" s="1"/>
  <c r="F23" i="14"/>
  <c r="G23" i="14" s="1"/>
  <c r="H23" i="14" s="1"/>
  <c r="F24" i="14"/>
  <c r="G24" i="14" s="1"/>
  <c r="H24" i="14" s="1"/>
  <c r="G40" i="8" s="1"/>
  <c r="F25" i="14"/>
  <c r="G25" i="14" s="1"/>
  <c r="H25" i="14" s="1"/>
  <c r="G46" i="8" s="1"/>
  <c r="F26" i="14"/>
  <c r="G26" i="14" s="1"/>
  <c r="H26" i="14" s="1"/>
  <c r="F27" i="14"/>
  <c r="G27" i="14" s="1"/>
  <c r="H27" i="14" s="1"/>
  <c r="F28" i="14"/>
  <c r="G28" i="14" s="1"/>
  <c r="H28" i="14" s="1"/>
  <c r="F29" i="14"/>
  <c r="G29" i="14" s="1"/>
  <c r="H29" i="14" s="1"/>
  <c r="F30" i="14"/>
  <c r="G30" i="14" s="1"/>
  <c r="H30" i="14" s="1"/>
  <c r="F31" i="14"/>
  <c r="G31" i="14" s="1"/>
  <c r="H31" i="14" s="1"/>
  <c r="F32" i="14"/>
  <c r="G32" i="14" s="1"/>
  <c r="H32" i="14" s="1"/>
  <c r="F33" i="14"/>
  <c r="G33" i="14" s="1"/>
  <c r="H33" i="14" s="1"/>
  <c r="G45" i="8" s="1"/>
  <c r="F34" i="14"/>
  <c r="G34" i="14"/>
  <c r="H34" i="14" s="1"/>
  <c r="F35" i="14"/>
  <c r="G35" i="14" s="1"/>
  <c r="H35" i="14" s="1"/>
  <c r="F2" i="14"/>
  <c r="G2" i="14" s="1"/>
  <c r="H2" i="14" s="1"/>
  <c r="V10" i="17"/>
  <c r="G44" i="17" l="1"/>
  <c r="S44" i="17"/>
  <c r="S43" i="17"/>
  <c r="G43" i="17"/>
  <c r="M36" i="17"/>
  <c r="Z36" i="17" s="1"/>
  <c r="AB36" i="17" s="1"/>
  <c r="AA36" i="17" s="1"/>
  <c r="M40" i="17"/>
  <c r="Z40" i="17" s="1"/>
  <c r="AB40" i="17" s="1"/>
  <c r="AA40" i="17" s="1"/>
  <c r="N35" i="17"/>
  <c r="P35" i="17" s="1"/>
  <c r="N41" i="17"/>
  <c r="P41" i="17" s="1"/>
  <c r="O38" i="17"/>
  <c r="N42" i="17"/>
  <c r="P42" i="17" s="1"/>
  <c r="M37" i="17"/>
  <c r="Z37" i="17" s="1"/>
  <c r="AB37" i="17" s="1"/>
  <c r="AA37" i="17" s="1"/>
  <c r="E36" i="17"/>
  <c r="N36" i="17" s="1"/>
  <c r="P36" i="17" s="1"/>
  <c r="E33" i="17"/>
  <c r="O33" i="17" s="1"/>
  <c r="F39" i="17"/>
  <c r="Q39" i="17" s="1"/>
  <c r="M33" i="17"/>
  <c r="Z33" i="17" s="1"/>
  <c r="AB33" i="17" s="1"/>
  <c r="AA33" i="17" s="1"/>
  <c r="N43" i="17"/>
  <c r="P43" i="17" s="1"/>
  <c r="E34" i="17"/>
  <c r="O34" i="17" s="1"/>
  <c r="E37" i="17"/>
  <c r="O37" i="17" s="1"/>
  <c r="F36" i="17"/>
  <c r="Q36" i="17" s="1"/>
  <c r="F40" i="17"/>
  <c r="Q40" i="17" s="1"/>
  <c r="F41" i="17"/>
  <c r="Q41" i="17" s="1"/>
  <c r="N39" i="17"/>
  <c r="P39" i="17" s="1"/>
  <c r="M39" i="17"/>
  <c r="Z39" i="17" s="1"/>
  <c r="AB39" i="17" s="1"/>
  <c r="AA39" i="17" s="1"/>
  <c r="L25" i="17"/>
  <c r="L30" i="17"/>
  <c r="L29" i="17"/>
  <c r="X32" i="17"/>
  <c r="L27" i="17"/>
  <c r="G42" i="8"/>
  <c r="G25" i="8"/>
  <c r="G24" i="8"/>
  <c r="F32" i="17"/>
  <c r="Q32" i="17" s="1"/>
  <c r="R32" i="17"/>
  <c r="X27" i="17"/>
  <c r="M26" i="17"/>
  <c r="Z26" i="17" s="1"/>
  <c r="AB26" i="17" s="1"/>
  <c r="X29" i="17"/>
  <c r="R30" i="17"/>
  <c r="X30" i="17"/>
  <c r="X28" i="17"/>
  <c r="G26" i="17"/>
  <c r="F26" i="17" s="1"/>
  <c r="Q26" i="17" s="1"/>
  <c r="M28" i="17"/>
  <c r="Z28" i="17" s="1"/>
  <c r="AB28" i="17" s="1"/>
  <c r="X25" i="17"/>
  <c r="X21" i="17"/>
  <c r="M31" i="17"/>
  <c r="Z31" i="17" s="1"/>
  <c r="AB31" i="17" s="1"/>
  <c r="G21" i="8"/>
  <c r="G22" i="8"/>
  <c r="G23" i="8"/>
  <c r="O30" i="17"/>
  <c r="AA30" i="17" s="1"/>
  <c r="Q30" i="17"/>
  <c r="S29" i="17"/>
  <c r="G29" i="17"/>
  <c r="N27" i="17"/>
  <c r="P27" i="17" s="1"/>
  <c r="N32" i="17"/>
  <c r="P32" i="17" s="1"/>
  <c r="E31" i="17"/>
  <c r="F28" i="17"/>
  <c r="Q28" i="17" s="1"/>
  <c r="L32" i="17"/>
  <c r="G31" i="17"/>
  <c r="G25" i="17"/>
  <c r="G27" i="17"/>
  <c r="X18" i="17"/>
  <c r="X23" i="17"/>
  <c r="S22" i="17"/>
  <c r="G22" i="17"/>
  <c r="F22" i="17" s="1"/>
  <c r="Q22" i="17" s="1"/>
  <c r="X20" i="17"/>
  <c r="X24" i="17"/>
  <c r="E24" i="17"/>
  <c r="X17" i="17"/>
  <c r="R24" i="17"/>
  <c r="F24" i="17"/>
  <c r="Q24" i="17" s="1"/>
  <c r="R23" i="17"/>
  <c r="F23" i="17"/>
  <c r="Q23" i="17" s="1"/>
  <c r="E23" i="17"/>
  <c r="S23" i="17"/>
  <c r="M23" i="17"/>
  <c r="Z23" i="17" s="1"/>
  <c r="AB23" i="17" s="1"/>
  <c r="S24" i="17"/>
  <c r="M21" i="17"/>
  <c r="Z21" i="17" s="1"/>
  <c r="AB21" i="17" s="1"/>
  <c r="X22" i="17"/>
  <c r="E20" i="17"/>
  <c r="N20" i="17" s="1"/>
  <c r="P20" i="17" s="1"/>
  <c r="R22" i="17"/>
  <c r="S21" i="17"/>
  <c r="X19" i="17"/>
  <c r="F18" i="17"/>
  <c r="Q18" i="17" s="1"/>
  <c r="R18" i="17"/>
  <c r="S17" i="17"/>
  <c r="G17" i="17"/>
  <c r="G20" i="17"/>
  <c r="S20" i="17"/>
  <c r="G19" i="17"/>
  <c r="S19" i="17"/>
  <c r="F21" i="17"/>
  <c r="Q21" i="17" s="1"/>
  <c r="R21" i="17"/>
  <c r="N21" i="17"/>
  <c r="P21" i="17" s="1"/>
  <c r="S18" i="17"/>
  <c r="M18" i="17"/>
  <c r="Z18" i="17" s="1"/>
  <c r="AB18" i="17" s="1"/>
  <c r="N18" i="17"/>
  <c r="P18" i="17" s="1"/>
  <c r="M22" i="17"/>
  <c r="Z22" i="17" s="1"/>
  <c r="AB22" i="17" s="1"/>
  <c r="E22" i="17"/>
  <c r="M17" i="17"/>
  <c r="Z17" i="17" s="1"/>
  <c r="AB17" i="17" s="1"/>
  <c r="E17" i="17"/>
  <c r="N17" i="17" s="1"/>
  <c r="P17" i="17" s="1"/>
  <c r="E19" i="17"/>
  <c r="N19" i="17" s="1"/>
  <c r="P19" i="17" s="1"/>
  <c r="M14" i="17"/>
  <c r="Z14" i="17" s="1"/>
  <c r="AB14" i="17" s="1"/>
  <c r="X15" i="17"/>
  <c r="S15" i="17"/>
  <c r="E13" i="17"/>
  <c r="N13" i="17" s="1"/>
  <c r="P13" i="17" s="1"/>
  <c r="X14" i="17"/>
  <c r="G14" i="17"/>
  <c r="R14" i="17" s="1"/>
  <c r="S14" i="17"/>
  <c r="G16" i="17"/>
  <c r="F16" i="17" s="1"/>
  <c r="S16" i="17"/>
  <c r="S13" i="17"/>
  <c r="G13" i="17"/>
  <c r="F13" i="17" s="1"/>
  <c r="Q13" i="17" s="1"/>
  <c r="E11" i="17"/>
  <c r="N11" i="17" s="1"/>
  <c r="P11" i="17" s="1"/>
  <c r="X13" i="17"/>
  <c r="M15" i="17"/>
  <c r="Z15" i="17" s="1"/>
  <c r="AB15" i="17" s="1"/>
  <c r="M16" i="17"/>
  <c r="Z16" i="17" s="1"/>
  <c r="M12" i="17"/>
  <c r="Z12" i="17" s="1"/>
  <c r="AB12" i="17" s="1"/>
  <c r="E15" i="17"/>
  <c r="N15" i="17" s="1"/>
  <c r="P15" i="17" s="1"/>
  <c r="S11" i="17"/>
  <c r="X12" i="17"/>
  <c r="X16" i="17"/>
  <c r="N16" i="17"/>
  <c r="P16" i="17" s="1"/>
  <c r="R11" i="17"/>
  <c r="F11" i="17"/>
  <c r="Q11" i="17" s="1"/>
  <c r="F12" i="17"/>
  <c r="Q12" i="17" s="1"/>
  <c r="R12" i="17"/>
  <c r="N12" i="17"/>
  <c r="P12" i="17" s="1"/>
  <c r="F15" i="17"/>
  <c r="S12" i="17"/>
  <c r="E14" i="17"/>
  <c r="L14" i="17"/>
  <c r="R44" i="17" l="1"/>
  <c r="F44" i="17"/>
  <c r="N34" i="17"/>
  <c r="P34" i="17" s="1"/>
  <c r="N37" i="17"/>
  <c r="P37" i="17" s="1"/>
  <c r="O40" i="17"/>
  <c r="N33" i="17"/>
  <c r="P33" i="17" s="1"/>
  <c r="O36" i="17"/>
  <c r="O39" i="17"/>
  <c r="O41" i="17"/>
  <c r="R43" i="17"/>
  <c r="F43" i="17"/>
  <c r="R26" i="17"/>
  <c r="O26" i="17"/>
  <c r="AA26" i="17" s="1"/>
  <c r="O28" i="17"/>
  <c r="AA28" i="17" s="1"/>
  <c r="O32" i="17"/>
  <c r="R27" i="17"/>
  <c r="F27" i="17"/>
  <c r="R25" i="17"/>
  <c r="F25" i="17"/>
  <c r="R29" i="17"/>
  <c r="F29" i="17"/>
  <c r="R31" i="17"/>
  <c r="F31" i="17"/>
  <c r="Q31" i="17" s="1"/>
  <c r="N31" i="17"/>
  <c r="AA32" i="17"/>
  <c r="O22" i="17"/>
  <c r="O18" i="17"/>
  <c r="AA18" i="17" s="1"/>
  <c r="O24" i="17"/>
  <c r="N24" i="17"/>
  <c r="P24" i="17" s="1"/>
  <c r="O23" i="17"/>
  <c r="N23" i="17"/>
  <c r="P23" i="17" s="1"/>
  <c r="AB16" i="17"/>
  <c r="AB11" i="17"/>
  <c r="R20" i="17"/>
  <c r="F20" i="17"/>
  <c r="R17" i="17"/>
  <c r="F17" i="17"/>
  <c r="Q17" i="17" s="1"/>
  <c r="F19" i="17"/>
  <c r="Q19" i="17" s="1"/>
  <c r="R19" i="17"/>
  <c r="O21" i="17"/>
  <c r="AA21" i="17" s="1"/>
  <c r="N22" i="17"/>
  <c r="P22" i="17" s="1"/>
  <c r="F14" i="17"/>
  <c r="Q14" i="17" s="1"/>
  <c r="R16" i="17"/>
  <c r="R13" i="17"/>
  <c r="O11" i="17"/>
  <c r="Q16" i="17"/>
  <c r="O16" i="17"/>
  <c r="O12" i="17"/>
  <c r="AA12" i="17" s="1"/>
  <c r="O13" i="17"/>
  <c r="AA13" i="17" s="1"/>
  <c r="Q15" i="17"/>
  <c r="O15" i="17"/>
  <c r="AA15" i="17" s="1"/>
  <c r="N14" i="17"/>
  <c r="D18" i="20"/>
  <c r="D19" i="20"/>
  <c r="B8" i="17"/>
  <c r="G17" i="8"/>
  <c r="G18" i="8"/>
  <c r="G9" i="8"/>
  <c r="G14" i="8"/>
  <c r="G19" i="8"/>
  <c r="D9" i="20"/>
  <c r="D10" i="20"/>
  <c r="D11" i="20"/>
  <c r="D12" i="20"/>
  <c r="D13" i="20"/>
  <c r="D14" i="20"/>
  <c r="D15" i="20"/>
  <c r="D16" i="20"/>
  <c r="D17" i="20"/>
  <c r="Q43" i="17" l="1"/>
  <c r="O43" i="17"/>
  <c r="O44" i="17"/>
  <c r="Q44" i="17"/>
  <c r="O31" i="17"/>
  <c r="AA31" i="17" s="1"/>
  <c r="P31" i="17"/>
  <c r="O29" i="17"/>
  <c r="AA29" i="17" s="1"/>
  <c r="Q29" i="17"/>
  <c r="Q25" i="17"/>
  <c r="O25" i="17"/>
  <c r="AA25" i="17" s="1"/>
  <c r="Q27" i="17"/>
  <c r="O27" i="17"/>
  <c r="AA27" i="17" s="1"/>
  <c r="AA24" i="17"/>
  <c r="O19" i="17"/>
  <c r="AA19" i="17" s="1"/>
  <c r="AA23" i="17"/>
  <c r="AA16" i="17"/>
  <c r="O17" i="17"/>
  <c r="AA17" i="17" s="1"/>
  <c r="AA11" i="17"/>
  <c r="AA22" i="17"/>
  <c r="Q20" i="17"/>
  <c r="O20" i="17"/>
  <c r="AA20" i="17" s="1"/>
  <c r="O14" i="17"/>
  <c r="AA14" i="17" s="1"/>
  <c r="P14" i="17"/>
  <c r="G8" i="8"/>
  <c r="G15" i="8"/>
  <c r="G13" i="8"/>
  <c r="G16" i="8"/>
  <c r="G12" i="8"/>
  <c r="G11" i="8"/>
  <c r="G10" i="8"/>
  <c r="D8" i="20"/>
  <c r="D7" i="20"/>
  <c r="D2" i="20"/>
  <c r="G2" i="8" l="1"/>
  <c r="G3" i="8"/>
  <c r="G4" i="8"/>
  <c r="G5" i="8"/>
  <c r="G6" i="8"/>
  <c r="D4" i="11"/>
  <c r="D3" i="11"/>
  <c r="G7" i="8" l="1"/>
  <c r="B6" i="6"/>
  <c r="C6" i="6"/>
  <c r="C74" i="16" l="1"/>
  <c r="C66" i="16" l="1"/>
  <c r="B9" i="17" l="1"/>
  <c r="D9" i="17" s="1"/>
  <c r="E9" i="17" s="1"/>
  <c r="V9" i="17"/>
  <c r="B10" i="17"/>
  <c r="C10" i="17" l="1"/>
  <c r="D10" i="17"/>
  <c r="E10" i="17" s="1"/>
  <c r="U10" i="17"/>
  <c r="W10" i="17"/>
  <c r="I10" i="17"/>
  <c r="H10" i="17" s="1"/>
  <c r="S10" i="17" s="1"/>
  <c r="J10" i="17"/>
  <c r="C9" i="17"/>
  <c r="L9" i="17" s="1"/>
  <c r="I9" i="17"/>
  <c r="H9" i="17" s="1"/>
  <c r="G9" i="17" s="1"/>
  <c r="F9" i="17" s="1"/>
  <c r="Q9" i="17" s="1"/>
  <c r="C8" i="17"/>
  <c r="F8" i="17" s="1"/>
  <c r="J8" i="17"/>
  <c r="I8" i="17"/>
  <c r="W9" i="17"/>
  <c r="U9" i="17"/>
  <c r="J9" i="17"/>
  <c r="N10" i="17" l="1"/>
  <c r="P10" i="17" s="1"/>
  <c r="X10" i="17"/>
  <c r="M10" i="17"/>
  <c r="Z10" i="17" s="1"/>
  <c r="AB10" i="17" s="1"/>
  <c r="L10" i="17"/>
  <c r="G10" i="17"/>
  <c r="L8" i="17"/>
  <c r="X9" i="17"/>
  <c r="O8" i="17"/>
  <c r="M8" i="17"/>
  <c r="G8" i="17"/>
  <c r="Q8" i="17" s="1"/>
  <c r="M9" i="17"/>
  <c r="Z9" i="17" s="1"/>
  <c r="AB9" i="17" l="1"/>
  <c r="F10" i="17"/>
  <c r="R10" i="17"/>
  <c r="H8" i="17"/>
  <c r="S8" i="17" s="1"/>
  <c r="O9" i="17"/>
  <c r="N9" i="17"/>
  <c r="P9" i="17" s="1"/>
  <c r="Q10" i="17" l="1"/>
  <c r="O10" i="17"/>
  <c r="AA10" i="17" s="1"/>
  <c r="AA9" i="17"/>
  <c r="R8" i="17"/>
  <c r="S9" i="17" l="1"/>
  <c r="R9" i="17" l="1"/>
  <c r="G5" i="6"/>
  <c r="G6" i="6" l="1"/>
  <c r="D5" i="2"/>
  <c r="D6" i="2"/>
</calcChain>
</file>

<file path=xl/sharedStrings.xml><?xml version="1.0" encoding="utf-8"?>
<sst xmlns="http://schemas.openxmlformats.org/spreadsheetml/2006/main" count="6535" uniqueCount="1867">
  <si>
    <t>Name</t>
  </si>
  <si>
    <t>Type</t>
  </si>
  <si>
    <t>Length</t>
  </si>
  <si>
    <t>Format</t>
  </si>
  <si>
    <t>Informat</t>
  </si>
  <si>
    <t>Label</t>
  </si>
  <si>
    <t>Numeric</t>
  </si>
  <si>
    <t>PTS_ACCID</t>
  </si>
  <si>
    <t>Accident Points</t>
  </si>
  <si>
    <t>NCD</t>
  </si>
  <si>
    <t>VOL_XS</t>
  </si>
  <si>
    <t>GARAGED</t>
  </si>
  <si>
    <t>MILEAGE</t>
  </si>
  <si>
    <t>VEH_VAL</t>
  </si>
  <si>
    <t>VEH_YOM</t>
  </si>
  <si>
    <t>GGD</t>
  </si>
  <si>
    <t>WEIGHT</t>
  </si>
  <si>
    <t>NCAPA</t>
  </si>
  <si>
    <t>BHP</t>
  </si>
  <si>
    <t>P2W</t>
  </si>
  <si>
    <t>CO2</t>
  </si>
  <si>
    <t>CC</t>
  </si>
  <si>
    <t>PHAGE</t>
  </si>
  <si>
    <t>RATDRIVAGE</t>
  </si>
  <si>
    <t>NUM_AD</t>
  </si>
  <si>
    <t>YRSOWN</t>
  </si>
  <si>
    <t>MONTHSOWN</t>
  </si>
  <si>
    <t>YEAR_PUR</t>
  </si>
  <si>
    <t>VA_PUR</t>
  </si>
  <si>
    <t>MDAGE2</t>
  </si>
  <si>
    <t>ABI_N</t>
  </si>
  <si>
    <t>NR_DOORS</t>
  </si>
  <si>
    <t>POWER_BHP</t>
  </si>
  <si>
    <t>POWER_RPM</t>
  </si>
  <si>
    <t>TORQUE_NM</t>
  </si>
  <si>
    <t>MAX_SPD_MPH</t>
  </si>
  <si>
    <t>ACC_MPH</t>
  </si>
  <si>
    <t>COMB_MPG</t>
  </si>
  <si>
    <t>AU_CO2</t>
  </si>
  <si>
    <t>AU_LENGTH</t>
  </si>
  <si>
    <t>AU_WIDTH</t>
  </si>
  <si>
    <t>HEIGHT</t>
  </si>
  <si>
    <t>KERB_WGHT</t>
  </si>
  <si>
    <t>FOOTPRINT</t>
  </si>
  <si>
    <t>GROUP_ABI</t>
  </si>
  <si>
    <t>GROUP_MG</t>
  </si>
  <si>
    <t>Standard MG Group</t>
  </si>
  <si>
    <t>GROUP_TEL</t>
  </si>
  <si>
    <t>GROUP_ROSS</t>
  </si>
  <si>
    <t>GROUP_OPTIMA</t>
  </si>
  <si>
    <t>GROUP_PLUS</t>
  </si>
  <si>
    <t>GROUP_CLASSIC</t>
  </si>
  <si>
    <t>PARENT3AGE</t>
  </si>
  <si>
    <t>AGE2</t>
  </si>
  <si>
    <t>PARENT3</t>
  </si>
  <si>
    <t>SCORE1</t>
  </si>
  <si>
    <t>Original Data</t>
  </si>
  <si>
    <t>data</t>
  </si>
  <si>
    <t>Column to Adjust</t>
  </si>
  <si>
    <t>Constraint</t>
  </si>
  <si>
    <t>COPY TO R</t>
  </si>
  <si>
    <t>variable</t>
  </si>
  <si>
    <t>classe</t>
  </si>
  <si>
    <t>Original</t>
  </si>
  <si>
    <t>Same</t>
  </si>
  <si>
    <t>Set Working Directory</t>
  </si>
  <si>
    <t>datafile</t>
  </si>
  <si>
    <t>OCC_CODE_S</t>
  </si>
  <si>
    <t>FT_EMPLOYEE_TYPE_F</t>
  </si>
  <si>
    <t>LIC_TYPE_F</t>
  </si>
  <si>
    <t>OCC_COVER_Q</t>
  </si>
  <si>
    <t>OCC_COVER_R</t>
  </si>
  <si>
    <t>AH_GROUP2_A</t>
  </si>
  <si>
    <t>AH_GROUP2_B</t>
  </si>
  <si>
    <t>AH_GROUP2_C</t>
  </si>
  <si>
    <t>AH_GROUP2_D</t>
  </si>
  <si>
    <t>AH_GROUP2_F</t>
  </si>
  <si>
    <t>AH_GROUP2_G</t>
  </si>
  <si>
    <t>AH_GROUP2_H</t>
  </si>
  <si>
    <t>AH_GROUP2_I</t>
  </si>
  <si>
    <t>AH_GROUP2_K</t>
  </si>
  <si>
    <t>AH_GROUP2_L</t>
  </si>
  <si>
    <t>CUR_GROUP_Q</t>
  </si>
  <si>
    <t>TERM_OP_C</t>
  </si>
  <si>
    <t>AH_GROUP2_M</t>
  </si>
  <si>
    <t>Score1Pass</t>
  </si>
  <si>
    <t>Include</t>
  </si>
  <si>
    <t>Y</t>
  </si>
  <si>
    <t>Dataset</t>
  </si>
  <si>
    <t>New Column</t>
  </si>
  <si>
    <t>Value</t>
  </si>
  <si>
    <t>Range 1</t>
  </si>
  <si>
    <t>Range 2</t>
  </si>
  <si>
    <t>Copy to R</t>
  </si>
  <si>
    <t>&gt;= 70</t>
  </si>
  <si>
    <t>Orig Column</t>
  </si>
  <si>
    <t>Drop Flag</t>
  </si>
  <si>
    <t>Variables</t>
  </si>
  <si>
    <t>na_count</t>
  </si>
  <si>
    <t>na_perc</t>
  </si>
  <si>
    <t>Assignment</t>
  </si>
  <si>
    <t>AIL_Area_Numeric</t>
  </si>
  <si>
    <t>Location</t>
  </si>
  <si>
    <t>Variable</t>
  </si>
  <si>
    <t>AIL_VEHGRP_03</t>
  </si>
  <si>
    <t>AIL_VEHGRP_06</t>
  </si>
  <si>
    <t>AIL_VEHGRP_11</t>
  </si>
  <si>
    <t>ECAR_VEHGRP_03</t>
  </si>
  <si>
    <t>MaxAge</t>
  </si>
  <si>
    <t>AvAge</t>
  </si>
  <si>
    <t>Hotkey Flag</t>
  </si>
  <si>
    <t>ggd_char_2</t>
  </si>
  <si>
    <t>ggd_char_4</t>
  </si>
  <si>
    <t>Steps for Creating your Decision Tree</t>
  </si>
  <si>
    <t>1a</t>
  </si>
  <si>
    <t>Paste the format of your original data in this tab; it is good to understand the columns included at this stage as this means the output makes more sense.</t>
  </si>
  <si>
    <t>Key</t>
  </si>
  <si>
    <t>Tab</t>
  </si>
  <si>
    <t>All Orange Tabs need information copied into them from external sources.</t>
  </si>
  <si>
    <t>All Green Tabs have code that needs to be copied into R</t>
  </si>
  <si>
    <t>Cell</t>
  </si>
  <si>
    <t>A highlighted Cell is a Cell that needs to be edited.</t>
  </si>
  <si>
    <t>Text</t>
  </si>
  <si>
    <t>Any blue text are cells that contain formulas that need adjusting or need editing</t>
  </si>
  <si>
    <t>Enter the folder location and the file name in this tab and copy the code to R.</t>
  </si>
  <si>
    <t>Install and Run the required Packages</t>
  </si>
  <si>
    <t>Import the dataset to use.</t>
  </si>
  <si>
    <t>1b</t>
  </si>
  <si>
    <t>Copy and Paste the csv of the same name to show what that dataset looks like in R.</t>
  </si>
  <si>
    <t>Data Exploration and Data Constraints</t>
  </si>
  <si>
    <t>2b</t>
  </si>
  <si>
    <t>Enter any data constraints and copy the code over to R.</t>
  </si>
  <si>
    <t>Data Preperation</t>
  </si>
  <si>
    <t>3b</t>
  </si>
  <si>
    <t>3c</t>
  </si>
  <si>
    <t>3d</t>
  </si>
  <si>
    <t>3a</t>
  </si>
  <si>
    <t>Decision Tree</t>
  </si>
  <si>
    <t>YD_0</t>
  </si>
  <si>
    <t>YD_1</t>
  </si>
  <si>
    <t>YD_2</t>
  </si>
  <si>
    <t>YD_3</t>
  </si>
  <si>
    <t>YD_5</t>
  </si>
  <si>
    <t>YD_6</t>
  </si>
  <si>
    <t>Split data into Train And Test Set</t>
  </si>
  <si>
    <t>Use this tab to Assign a different class (formula driven but can be over-written) , choose columns to drop at this stage and others to Hotkey. Hit macro buttons to populate tabs.</t>
  </si>
  <si>
    <t>Copy Code to R.</t>
  </si>
  <si>
    <t>Add any additional variables in here and copy to R.</t>
  </si>
  <si>
    <t>Parked - Road</t>
  </si>
  <si>
    <t>Power (RPM)</t>
  </si>
  <si>
    <t>CO2 (g/km)</t>
  </si>
  <si>
    <t>Max Speed (mph)</t>
  </si>
  <si>
    <t>Weight</t>
  </si>
  <si>
    <t>Acc (mph)</t>
  </si>
  <si>
    <t>Rated Age</t>
  </si>
  <si>
    <t>Telem Group</t>
  </si>
  <si>
    <t>Parked - Garage</t>
  </si>
  <si>
    <t>AIL Area (Num)</t>
  </si>
  <si>
    <t>Year of Manuf</t>
  </si>
  <si>
    <t>REMOVE</t>
  </si>
  <si>
    <t>Max Age on Pol</t>
  </si>
  <si>
    <t>Student - School</t>
  </si>
  <si>
    <t>Sales &amp; Services</t>
  </si>
  <si>
    <t>Catering</t>
  </si>
  <si>
    <t>Bui &amp; Agri Trades</t>
  </si>
  <si>
    <t>AH_GROUP2_J</t>
  </si>
  <si>
    <t>Admin</t>
  </si>
  <si>
    <t>Other Trade + Arts</t>
  </si>
  <si>
    <t>Decline</t>
  </si>
  <si>
    <t>Expired</t>
  </si>
  <si>
    <t>AH_GROUP2_E</t>
  </si>
  <si>
    <t>Skilled/Teacher</t>
  </si>
  <si>
    <t>Management</t>
  </si>
  <si>
    <t>QUERY</t>
  </si>
  <si>
    <t>Student - Live Away</t>
  </si>
  <si>
    <t>Student - LA</t>
  </si>
  <si>
    <t>Student - Lives at Home</t>
  </si>
  <si>
    <t>Student - LaH</t>
  </si>
  <si>
    <t># Add Drivers</t>
  </si>
  <si>
    <t>Power (BHP)</t>
  </si>
  <si>
    <t>AU CO2</t>
  </si>
  <si>
    <t>Veh Value</t>
  </si>
  <si>
    <t>MPG (comb)</t>
  </si>
  <si>
    <t>Engine (CC)</t>
  </si>
  <si>
    <t>Optima Group</t>
  </si>
  <si>
    <t>Year Pursch</t>
  </si>
  <si>
    <t>PH Age</t>
  </si>
  <si>
    <t>Mileage</t>
  </si>
  <si>
    <t>Footprint</t>
  </si>
  <si>
    <t>Years NCD</t>
  </si>
  <si>
    <t>AU LENGTH</t>
  </si>
  <si>
    <t>Height</t>
  </si>
  <si>
    <t>ABI Group</t>
  </si>
  <si>
    <t>Quality Control</t>
  </si>
  <si>
    <t>Age 2nd</t>
  </si>
  <si>
    <t># Doors</t>
  </si>
  <si>
    <t>Torque (nm)</t>
  </si>
  <si>
    <t>Months Owned</t>
  </si>
  <si>
    <t>Kerb Weight</t>
  </si>
  <si>
    <t>var_Return</t>
  </si>
  <si>
    <t>var_Lookup</t>
  </si>
  <si>
    <t>Sign</t>
  </si>
  <si>
    <t>Lookup</t>
  </si>
  <si>
    <t>Diff</t>
  </si>
  <si>
    <t>Len Trim</t>
  </si>
  <si>
    <t>Len Orig</t>
  </si>
  <si>
    <t>"*"</t>
  </si>
  <si>
    <t>y-val</t>
  </si>
  <si>
    <t>deviance</t>
  </si>
  <si>
    <t>n</t>
  </si>
  <si>
    <t>Right Sign</t>
  </si>
  <si>
    <t>Split</t>
  </si>
  <si>
    <t>Node</t>
  </si>
  <si>
    <t>"*" on end?</t>
  </si>
  <si>
    <t>Where is deviance</t>
  </si>
  <si>
    <t>Length of n count</t>
  </si>
  <si>
    <t>Where is n count</t>
  </si>
  <si>
    <t>End of Val</t>
  </si>
  <si>
    <t>Max Sign Pos</t>
  </si>
  <si>
    <t>Min sign Pos</t>
  </si>
  <si>
    <t>What number is the ")" in</t>
  </si>
  <si>
    <t>Trim the column to remove leading spaces</t>
  </si>
  <si>
    <t>PASTE BELOW</t>
  </si>
  <si>
    <t>Student</t>
  </si>
  <si>
    <t>Levels:</t>
  </si>
  <si>
    <t>8a.</t>
  </si>
  <si>
    <t>Rename any variables to make it easier to understand the tree.</t>
  </si>
  <si>
    <t>8b</t>
  </si>
  <si>
    <t>Make sure this is dragged down all the way to include all variables.</t>
  </si>
  <si>
    <t>AU WIDTH</t>
  </si>
  <si>
    <t>Vol Excess</t>
  </si>
  <si>
    <t>Garage Situation</t>
  </si>
  <si>
    <t>Grp Rossborough</t>
  </si>
  <si>
    <t>Grp Plus</t>
  </si>
  <si>
    <t>NCAP A</t>
  </si>
  <si>
    <t>Grp Classic</t>
  </si>
  <si>
    <t>AIL VehGrp 11</t>
  </si>
  <si>
    <t>Ecar VehGrp 3</t>
  </si>
  <si>
    <t>Power to Weight</t>
  </si>
  <si>
    <t>Years Owned</t>
  </si>
  <si>
    <t>Parent 3</t>
  </si>
  <si>
    <t>VAPUR_ASSIGN</t>
  </si>
  <si>
    <t>Average Age</t>
  </si>
  <si>
    <t>AIL VehGrp 06</t>
  </si>
  <si>
    <t>AIL VehGrp 03</t>
  </si>
  <si>
    <t>Full License</t>
  </si>
  <si>
    <t>Manual Labour</t>
  </si>
  <si>
    <t>Ex</t>
  </si>
  <si>
    <t>node), split, n, deviance, yval</t>
  </si>
  <si>
    <t xml:space="preserve">      * denotes terminal node</t>
  </si>
  <si>
    <t>Hotkey</t>
  </si>
  <si>
    <t>Character</t>
  </si>
  <si>
    <t>$10.</t>
  </si>
  <si>
    <t>Date</t>
  </si>
  <si>
    <t>DDMMYY10.</t>
  </si>
  <si>
    <t>MAKE</t>
  </si>
  <si>
    <t>EX</t>
  </si>
  <si>
    <t>TPD_INC</t>
  </si>
  <si>
    <t>area</t>
  </si>
  <si>
    <t>ph_lic_yrs</t>
  </si>
  <si>
    <t>driv_lic_yrs1</t>
  </si>
  <si>
    <t>driv_lic_yrs2</t>
  </si>
  <si>
    <t>driv_owns_other_cars2</t>
  </si>
  <si>
    <t>numeric</t>
  </si>
  <si>
    <t>PercDiff</t>
  </si>
  <si>
    <t>Driv 2 Lic Yrs</t>
  </si>
  <si>
    <t>Driv 1 Lic Yrs</t>
  </si>
  <si>
    <t>Make</t>
  </si>
  <si>
    <t>PH Lic Yrs</t>
  </si>
  <si>
    <t>Area</t>
  </si>
  <si>
    <t>Driv 3 Own other car</t>
  </si>
  <si>
    <t>Target Variable:</t>
  </si>
  <si>
    <t>Enter</t>
  </si>
  <si>
    <t>9a</t>
  </si>
  <si>
    <t>9b</t>
  </si>
  <si>
    <t>Factors</t>
  </si>
  <si>
    <t>factor</t>
  </si>
  <si>
    <t>integer</t>
  </si>
  <si>
    <t>OCC_CODE</t>
  </si>
  <si>
    <t>CLASSUSE</t>
  </si>
  <si>
    <t>LIC_TYPE</t>
  </si>
  <si>
    <t>LIC_YRS</t>
  </si>
  <si>
    <t>CARGROUP</t>
  </si>
  <si>
    <t>VEH_TRANSM</t>
  </si>
  <si>
    <t>Vehcc</t>
  </si>
  <si>
    <t>AIL_Area_Grp</t>
  </si>
  <si>
    <t>Car Group</t>
  </si>
  <si>
    <t>lic_yrs</t>
  </si>
  <si>
    <t>License Years</t>
  </si>
  <si>
    <t>OCC_Code</t>
  </si>
  <si>
    <t>Occupation Code</t>
  </si>
  <si>
    <t>REST_DRIV</t>
  </si>
  <si>
    <t>GARAGED_1</t>
  </si>
  <si>
    <t>Occ_Cat_W</t>
  </si>
  <si>
    <t>Veh_age</t>
  </si>
  <si>
    <t>'EX',</t>
  </si>
  <si>
    <t>num_parents</t>
  </si>
  <si>
    <t>tenure</t>
  </si>
  <si>
    <t>garaged_st</t>
  </si>
  <si>
    <t>ph_age</t>
  </si>
  <si>
    <t>indicium</t>
  </si>
  <si>
    <t>gauge</t>
  </si>
  <si>
    <t>married_N</t>
  </si>
  <si>
    <t>veh_fueltyp_D</t>
  </si>
  <si>
    <t>veh_fueltyp_P</t>
  </si>
  <si>
    <t>employment_type1_E</t>
  </si>
  <si>
    <t>Tenure</t>
  </si>
  <si>
    <t>Married No</t>
  </si>
  <si>
    <t>Number of Parents</t>
  </si>
  <si>
    <t>Indicium</t>
  </si>
  <si>
    <t>Employed</t>
  </si>
  <si>
    <t>Garaged</t>
  </si>
  <si>
    <t>Diesel</t>
  </si>
  <si>
    <t>Gauge</t>
  </si>
  <si>
    <t>Petrol</t>
  </si>
  <si>
    <t>Occ_Cat_M</t>
  </si>
  <si>
    <t>Occ_Cat_R</t>
  </si>
  <si>
    <t>Occ_Cat_T</t>
  </si>
  <si>
    <t>Occ_Cat_X</t>
  </si>
  <si>
    <t xml:space="preserve"> </t>
  </si>
  <si>
    <t>$3.</t>
  </si>
  <si>
    <t>parent_gap</t>
  </si>
  <si>
    <t>Parent Gap</t>
  </si>
  <si>
    <t>Quote_Event_ID</t>
  </si>
  <si>
    <t>TRANSACTION_ID</t>
  </si>
  <si>
    <t>AffinityCode</t>
  </si>
  <si>
    <t>$100.</t>
  </si>
  <si>
    <t>AFFINITY</t>
  </si>
  <si>
    <t>Quote_Transaction_Date</t>
  </si>
  <si>
    <t>OriginalQuoteDate</t>
  </si>
  <si>
    <t>InceptionDate</t>
  </si>
  <si>
    <t>OriginalInceptionDate</t>
  </si>
  <si>
    <t>PolicyType</t>
  </si>
  <si>
    <t>Driver_Count</t>
  </si>
  <si>
    <t>VolXS</t>
  </si>
  <si>
    <t>GRANTEDVOLUNTARYEXCESS</t>
  </si>
  <si>
    <t>Cover</t>
  </si>
  <si>
    <t>PaymentFrequency</t>
  </si>
  <si>
    <t>Postcode</t>
  </si>
  <si>
    <t>$8.</t>
  </si>
  <si>
    <t>POSTCODE</t>
  </si>
  <si>
    <t>Homeowner</t>
  </si>
  <si>
    <t>Children_Under_16</t>
  </si>
  <si>
    <t>District</t>
  </si>
  <si>
    <t>Class_Of_Use</t>
  </si>
  <si>
    <t>LYPremium</t>
  </si>
  <si>
    <t>Sector</t>
  </si>
  <si>
    <t>OtherVehicles</t>
  </si>
  <si>
    <t>Age</t>
  </si>
  <si>
    <t>Prop_Date_Of_Birth</t>
  </si>
  <si>
    <t>MedCond</t>
  </si>
  <si>
    <t>Occupation_Status</t>
  </si>
  <si>
    <t>PT_Occupation_Status</t>
  </si>
  <si>
    <t>LicenceType</t>
  </si>
  <si>
    <t>LicenceDate</t>
  </si>
  <si>
    <t>Residence_Year</t>
  </si>
  <si>
    <t>MaritalStatus</t>
  </si>
  <si>
    <t>Gender</t>
  </si>
  <si>
    <t>$110.</t>
  </si>
  <si>
    <t>GENDER_DESC</t>
  </si>
  <si>
    <t>DRV_Relationship</t>
  </si>
  <si>
    <t>Prev_Ins_Decline</t>
  </si>
  <si>
    <t>Occupation</t>
  </si>
  <si>
    <t>FT_OCCUPATIONCM_CODE</t>
  </si>
  <si>
    <t>R_Business</t>
  </si>
  <si>
    <t>FT_EMPLOYERCM_CODE</t>
  </si>
  <si>
    <t>PT_Occupation</t>
  </si>
  <si>
    <t>PT_OCCUPATIONCM_CODE</t>
  </si>
  <si>
    <t>R_PT_Business</t>
  </si>
  <si>
    <t>PT_EMPLOYERCM_CODE</t>
  </si>
  <si>
    <t>NonRTAConv</t>
  </si>
  <si>
    <t>OtherVehicles_1</t>
  </si>
  <si>
    <t>Age_1</t>
  </si>
  <si>
    <t>DOB_1</t>
  </si>
  <si>
    <t>MedCond_1</t>
  </si>
  <si>
    <t>Occupation_Status_1</t>
  </si>
  <si>
    <t>PT_Occupation_Status_1</t>
  </si>
  <si>
    <t>LicenceType_1</t>
  </si>
  <si>
    <t>LicenceDate_1</t>
  </si>
  <si>
    <t>Residence_Year_1</t>
  </si>
  <si>
    <t>MaritalStatus_1</t>
  </si>
  <si>
    <t>Gender_1</t>
  </si>
  <si>
    <t>DRV_Relationship_1</t>
  </si>
  <si>
    <t>Prev_Ins_Decline_1</t>
  </si>
  <si>
    <t>Occupation_1</t>
  </si>
  <si>
    <t>R_Business_1</t>
  </si>
  <si>
    <t>PT_Occupation_1</t>
  </si>
  <si>
    <t>R_PT_Business_1</t>
  </si>
  <si>
    <t>NonRTAConv_1</t>
  </si>
  <si>
    <t>OtherVehicles_2</t>
  </si>
  <si>
    <t>Age_2</t>
  </si>
  <si>
    <t>DOB_2</t>
  </si>
  <si>
    <t>MedCond_2</t>
  </si>
  <si>
    <t>Occupation_Status_2</t>
  </si>
  <si>
    <t>PT_Occupation_Status_2</t>
  </si>
  <si>
    <t>LicenceType_2</t>
  </si>
  <si>
    <t>LicenceDate_2</t>
  </si>
  <si>
    <t>Residence_Year_2</t>
  </si>
  <si>
    <t>MaritalStatus_2</t>
  </si>
  <si>
    <t>Gender_2</t>
  </si>
  <si>
    <t>DRV_Relationship_2</t>
  </si>
  <si>
    <t>Prev_Ins_Decline_2</t>
  </si>
  <si>
    <t>Occupation_2</t>
  </si>
  <si>
    <t>R_Business_2</t>
  </si>
  <si>
    <t>PT_Occupation_2</t>
  </si>
  <si>
    <t>R_PT_Business_2</t>
  </si>
  <si>
    <t>NonRTAConv_2</t>
  </si>
  <si>
    <t>OtherVehicles_3</t>
  </si>
  <si>
    <t>Age_3</t>
  </si>
  <si>
    <t>DOB_3</t>
  </si>
  <si>
    <t>MedCond_3</t>
  </si>
  <si>
    <t>Occupation_Status_3</t>
  </si>
  <si>
    <t>PT_Occupation_Status_3</t>
  </si>
  <si>
    <t>LicenceType_3</t>
  </si>
  <si>
    <t>LicenceDate_3</t>
  </si>
  <si>
    <t>Residence_Year_3</t>
  </si>
  <si>
    <t>MaritalStatus_3</t>
  </si>
  <si>
    <t>Gender_3</t>
  </si>
  <si>
    <t>DRV_Relationship_3</t>
  </si>
  <si>
    <t>Prev_Ins_Decline_3</t>
  </si>
  <si>
    <t>Occupation_3</t>
  </si>
  <si>
    <t>R_Business_3</t>
  </si>
  <si>
    <t>PT_Occupation_3</t>
  </si>
  <si>
    <t>R_PT_Business_3</t>
  </si>
  <si>
    <t>NonRTAConv_3</t>
  </si>
  <si>
    <t>OtherVehicles_4</t>
  </si>
  <si>
    <t>Age_4</t>
  </si>
  <si>
    <t>DOB_4</t>
  </si>
  <si>
    <t>MedCond_4</t>
  </si>
  <si>
    <t>Occupation_Status_4</t>
  </si>
  <si>
    <t>PT_Occupation_Status_4</t>
  </si>
  <si>
    <t>LicenceType_4</t>
  </si>
  <si>
    <t>LicenceDate_4</t>
  </si>
  <si>
    <t>Residence_Year_4</t>
  </si>
  <si>
    <t>MaritalStatus_4</t>
  </si>
  <si>
    <t>Gender_4</t>
  </si>
  <si>
    <t>DRV_Relationship_4</t>
  </si>
  <si>
    <t>Prev_Ins_Decline_4</t>
  </si>
  <si>
    <t>Occupation_4</t>
  </si>
  <si>
    <t>R_Business_4</t>
  </si>
  <si>
    <t>PT_Occupation_4</t>
  </si>
  <si>
    <t>R_PT_Business_4</t>
  </si>
  <si>
    <t>NonRTAConv_4</t>
  </si>
  <si>
    <t>PH_no</t>
  </si>
  <si>
    <t>MainDriver_No</t>
  </si>
  <si>
    <t>NumOfDrivers</t>
  </si>
  <si>
    <t>DrivingRestriction</t>
  </si>
  <si>
    <t>DRIVINGRESTRICTIONS_DESC</t>
  </si>
  <si>
    <t>KeptPostcode</t>
  </si>
  <si>
    <t>WHEREKEPTPOSTCODE</t>
  </si>
  <si>
    <t>KeptDistrict</t>
  </si>
  <si>
    <t>KeptArea</t>
  </si>
  <si>
    <t>RegistrationNo</t>
  </si>
  <si>
    <t>REGISTRATIONNUMBER</t>
  </si>
  <si>
    <t>ABI_Code</t>
  </si>
  <si>
    <t>ABICODE</t>
  </si>
  <si>
    <t>Fuel_Type</t>
  </si>
  <si>
    <t>BodyType</t>
  </si>
  <si>
    <t>BODYSTYLE_CODE</t>
  </si>
  <si>
    <t>NumberSeats</t>
  </si>
  <si>
    <t>NUMBEROFSEATS</t>
  </si>
  <si>
    <t>GVW</t>
  </si>
  <si>
    <t>GROSSWEIGHT</t>
  </si>
  <si>
    <t>Engine</t>
  </si>
  <si>
    <t>Registered_Keeper</t>
  </si>
  <si>
    <t>Owner</t>
  </si>
  <si>
    <t>PurchaseDate</t>
  </si>
  <si>
    <t>YearOfMake</t>
  </si>
  <si>
    <t>LeftHand</t>
  </si>
  <si>
    <t>IsVehicleImported</t>
  </si>
  <si>
    <t>PRESENTMARKETVALUE</t>
  </si>
  <si>
    <t>Dash_Cam_Fitted</t>
  </si>
  <si>
    <t>Is_There_Signage</t>
  </si>
  <si>
    <t>Vehicle_Fitted_With_Racking</t>
  </si>
  <si>
    <t>Hazardous_goods</t>
  </si>
  <si>
    <t>Public_liability_in_force</t>
  </si>
  <si>
    <t>Member_of_organisation</t>
  </si>
  <si>
    <t>PurchaseYear</t>
  </si>
  <si>
    <t>Transmission</t>
  </si>
  <si>
    <t>Modification_1</t>
  </si>
  <si>
    <t>Modification_2</t>
  </si>
  <si>
    <t>Modification_3</t>
  </si>
  <si>
    <t>Modification_4</t>
  </si>
  <si>
    <t>Modification_5</t>
  </si>
  <si>
    <t>Modification_6</t>
  </si>
  <si>
    <t>KeptSector</t>
  </si>
  <si>
    <t>NCB_Claimed</t>
  </si>
  <si>
    <t>NCB_TypeOfInsurance</t>
  </si>
  <si>
    <t>NCB_Protected</t>
  </si>
  <si>
    <t>NCB_HeldConstinuously</t>
  </si>
  <si>
    <t>NCB_Prev_Protected</t>
  </si>
  <si>
    <t>NCB_PrevInsurerCode</t>
  </si>
  <si>
    <t>NCB_ExpiryType</t>
  </si>
  <si>
    <t>NCB_Type</t>
  </si>
  <si>
    <t>ENR_SCID</t>
  </si>
  <si>
    <t>ENR_SIRA</t>
  </si>
  <si>
    <t>ENR_CUEPI</t>
  </si>
  <si>
    <t>RetailBlock</t>
  </si>
  <si>
    <t>ENR_CUEMOTOR</t>
  </si>
  <si>
    <t>ENR_CallReport_Match_Score</t>
  </si>
  <si>
    <t>ENR_CallReport_IDV</t>
  </si>
  <si>
    <t>ENR_CallReport</t>
  </si>
  <si>
    <t>MirrorBonus_year</t>
  </si>
  <si>
    <t>TypeOfExposure</t>
  </si>
  <si>
    <t>Proposer_Claim_NCB_Prejudiced_1</t>
  </si>
  <si>
    <t>Proposer_Claim_Type_1</t>
  </si>
  <si>
    <t>Proposer_Claim_Incident_Date_1</t>
  </si>
  <si>
    <t>Proposer_Claim_DriverNum_1</t>
  </si>
  <si>
    <t>Proposer_Claim_ThisPolicy_1</t>
  </si>
  <si>
    <t>Proposer_Claim_NCB_Prejudiced_2</t>
  </si>
  <si>
    <t>Proposer_Claim_Type_2</t>
  </si>
  <si>
    <t>Proposer_Claim_Incident_Date_2</t>
  </si>
  <si>
    <t>Proposer_Claim_DriverNum_2</t>
  </si>
  <si>
    <t>Proposer_Claim_ThisPolicy_2</t>
  </si>
  <si>
    <t>Proposer_Claim_NCB_Prejudiced_3</t>
  </si>
  <si>
    <t>Proposer_Claim_Type_3</t>
  </si>
  <si>
    <t>Proposer_Claim_Incident_Date_3</t>
  </si>
  <si>
    <t>Proposer_Claim_DriverNum_3</t>
  </si>
  <si>
    <t>Proposer_Claim_ThisPolicy_3</t>
  </si>
  <si>
    <t>Proposer_Claim_NCB_Prejudiced_4</t>
  </si>
  <si>
    <t>Proposer_Claim_Type_4</t>
  </si>
  <si>
    <t>Proposer_Claim_Incident_Date_4</t>
  </si>
  <si>
    <t>Proposer_Claim_DriverNum_4</t>
  </si>
  <si>
    <t>Proposer_Claim_ThisPolicy_4</t>
  </si>
  <si>
    <t>Proposer_Claim_NCB_Prejudiced_5</t>
  </si>
  <si>
    <t>Proposer_Claim_Type_5</t>
  </si>
  <si>
    <t>Proposer_Claim_Incident_Date_5</t>
  </si>
  <si>
    <t>Proposer_Claim_DriverNum_5</t>
  </si>
  <si>
    <t>Proposer_Claim_ThisPolicy_5</t>
  </si>
  <si>
    <t>R_ND_Claim_NCB_Prejudiced_1</t>
  </si>
  <si>
    <t>R_ND_Claim_Type_1</t>
  </si>
  <si>
    <t>R_ND_Claim_Incident_Date_1</t>
  </si>
  <si>
    <t>R_ND_Claim_NDNum_1</t>
  </si>
  <si>
    <t>BEST8.</t>
  </si>
  <si>
    <t>R_ND_Claim_ThisPolicy_1</t>
  </si>
  <si>
    <t>R_ND_Claim_NCB_Prejudiced_2</t>
  </si>
  <si>
    <t>R_ND_Claim_Type_2</t>
  </si>
  <si>
    <t>R_ND_Claim_Incident_Date_2</t>
  </si>
  <si>
    <t>R_ND_Claim_NDNum_2</t>
  </si>
  <si>
    <t>R_ND_Claim_ThisPolicy_2</t>
  </si>
  <si>
    <t>R_ND_Claim_NCB_Prejudiced_3</t>
  </si>
  <si>
    <t>R_ND_Claim_Type_3</t>
  </si>
  <si>
    <t>R_ND_Claim_Incident_Date_3</t>
  </si>
  <si>
    <t>R_ND_Claim_NDNum_3</t>
  </si>
  <si>
    <t>R_ND_Claim_ThisPolicy_3</t>
  </si>
  <si>
    <t>R_ND_Claim_NCB_Prejudiced_4</t>
  </si>
  <si>
    <t>R_ND_Claim_Type_4</t>
  </si>
  <si>
    <t>R_ND_Claim_Incident_Date_4</t>
  </si>
  <si>
    <t>R_ND_Claim_NDNum_4</t>
  </si>
  <si>
    <t>R_ND_Claim_ThisPolicy_4</t>
  </si>
  <si>
    <t>R_ND_Claim_NCB_Prejudiced_5</t>
  </si>
  <si>
    <t>R_ND_Claim_Type_5</t>
  </si>
  <si>
    <t>R_ND_Claim_Incident_Date_5</t>
  </si>
  <si>
    <t>R_ND_Claim_NDNum_5</t>
  </si>
  <si>
    <t>R_ND_Claim_ThisPolicy_5</t>
  </si>
  <si>
    <t>Proposer_Conv_Code_1</t>
  </si>
  <si>
    <t>Proposer_Conv_MthBan_1</t>
  </si>
  <si>
    <t>Proposer_ConvOffence_Date_1</t>
  </si>
  <si>
    <t>Proposer_Conv_DriverNum_1</t>
  </si>
  <si>
    <t>Proposer_Conv_Code_2</t>
  </si>
  <si>
    <t>Proposer_Conv_MthBan_2</t>
  </si>
  <si>
    <t>Proposer_ConvOffence_Date_2</t>
  </si>
  <si>
    <t>Proposer_Conv_DriverNum_2</t>
  </si>
  <si>
    <t>Proposer_Conv_Code_3</t>
  </si>
  <si>
    <t>Proposer_Conv_MthBan_3</t>
  </si>
  <si>
    <t>Proposer_ConvOffence_Date_3</t>
  </si>
  <si>
    <t>Proposer_Conv_DriverNum_3</t>
  </si>
  <si>
    <t>Proposer_Conv_Code_4</t>
  </si>
  <si>
    <t>Proposer_Conv_MthBan_4</t>
  </si>
  <si>
    <t>Proposer_ConvOffence_Date_4</t>
  </si>
  <si>
    <t>Proposer_Conv_DriverNum_4</t>
  </si>
  <si>
    <t>Proposer_Conv_Code_5</t>
  </si>
  <si>
    <t>Proposer_Conv_MthBan_5</t>
  </si>
  <si>
    <t>Proposer_ConvOffence_Date_5</t>
  </si>
  <si>
    <t>Proposer_Conv_DriverNum_5</t>
  </si>
  <si>
    <t>R_ND_Conv_Code_1</t>
  </si>
  <si>
    <t>R_ND_Conv_MthBan_1</t>
  </si>
  <si>
    <t>R_ND_Conv_Date_1</t>
  </si>
  <si>
    <t>R_ND_Conv_NDNum_1</t>
  </si>
  <si>
    <t>R_ND_Conv_Code_2</t>
  </si>
  <si>
    <t>R_ND_Conv_MthBan_2</t>
  </si>
  <si>
    <t>R_ND_Conv_Date_2</t>
  </si>
  <si>
    <t>R_ND_Conv_NDNum_2</t>
  </si>
  <si>
    <t>R_ND_Conv_Code_3</t>
  </si>
  <si>
    <t>R_ND_Conv_MthBan_3</t>
  </si>
  <si>
    <t>R_ND_Conv_Date_3</t>
  </si>
  <si>
    <t>R_ND_Conv_NDNum_3</t>
  </si>
  <si>
    <t>R_ND_Conv_Code_4</t>
  </si>
  <si>
    <t>R_ND_Conv_MthBan_4</t>
  </si>
  <si>
    <t>R_ND_Conv_Date_4</t>
  </si>
  <si>
    <t>R_ND_Conv_NDNum_4</t>
  </si>
  <si>
    <t>R_ND_Conv_Code_5</t>
  </si>
  <si>
    <t>R_ND_Conv_MthBan_5</t>
  </si>
  <si>
    <t>R_ND_Conv_Date_5</t>
  </si>
  <si>
    <t>R_ND_Conv_NDNum_5</t>
  </si>
  <si>
    <t>Quote_Marker</t>
  </si>
  <si>
    <t>Quote_Marker_Deduped</t>
  </si>
  <si>
    <t>Quote_Net</t>
  </si>
  <si>
    <t>Quote_Comm</t>
  </si>
  <si>
    <t>Quote_IPT</t>
  </si>
  <si>
    <t>TAX</t>
  </si>
  <si>
    <t>Quote_GP</t>
  </si>
  <si>
    <t>MAXDISCOUNTEDPREMIUM</t>
  </si>
  <si>
    <t>Clickthrough_Marker</t>
  </si>
  <si>
    <t>Sale_Marker</t>
  </si>
  <si>
    <t>RTP_Marker</t>
  </si>
  <si>
    <t>$20.</t>
  </si>
  <si>
    <t>RTPSTATUSCM_CODE</t>
  </si>
  <si>
    <t>Sold_Net</t>
  </si>
  <si>
    <t>Sold_Comm</t>
  </si>
  <si>
    <t>Sold_IPT</t>
  </si>
  <si>
    <t>Sold_GP</t>
  </si>
  <si>
    <t>Prop_Licence_Years</t>
  </si>
  <si>
    <t>NCB_Years</t>
  </si>
  <si>
    <t>YEARSNCB</t>
  </si>
  <si>
    <t>Claims_Within_3_Years</t>
  </si>
  <si>
    <t>Unexpired_Convictions</t>
  </si>
  <si>
    <t>Manufacturer</t>
  </si>
  <si>
    <t>MANUFACTURER</t>
  </si>
  <si>
    <t>Model_Desc</t>
  </si>
  <si>
    <t>MODELDESC</t>
  </si>
  <si>
    <t>Body_Style</t>
  </si>
  <si>
    <t>$CHAR20.</t>
  </si>
  <si>
    <t>Body_Type</t>
  </si>
  <si>
    <t>$CHAR11.</t>
  </si>
  <si>
    <t>Vehicle_Variant_Select</t>
  </si>
  <si>
    <t>$CHAR14.</t>
  </si>
  <si>
    <t>Body_Type_0001</t>
  </si>
  <si>
    <t>Vulnerability_Score</t>
  </si>
  <si>
    <t>AIL_POL_REF</t>
  </si>
  <si>
    <t>$CHAR10.</t>
  </si>
  <si>
    <t>MCPOLN</t>
  </si>
  <si>
    <t>Policy_Number</t>
  </si>
  <si>
    <t>$30.</t>
  </si>
  <si>
    <t>policynumber</t>
  </si>
  <si>
    <t>netp</t>
  </si>
  <si>
    <t>NEP</t>
  </si>
  <si>
    <t>Claim_Count</t>
  </si>
  <si>
    <t>AD_INC</t>
  </si>
  <si>
    <t>FT_INC</t>
  </si>
  <si>
    <t>WS_INC</t>
  </si>
  <si>
    <t>TPI_INC</t>
  </si>
  <si>
    <t>\\finl404arch\minnwsrv001\Underwriting &amp; Pricing\data\shared\Pricing &amp; Planning\Motor\Jim\Apprenticeship\Assessments\T3 Professional Portfolio\Impact Evaluation</t>
  </si>
  <si>
    <t>\\finl404arch\minnwsrv001\Underwriting &amp; Pricing\data\shared\Pricing &amp; Planning\Motor\Jim\Apprenticeship\Assessments\T3 Professional Portfolio\Impact Evaluation\DIRECT_CV_DATA.csv</t>
  </si>
  <si>
    <t>'Quote_Event_ID',</t>
  </si>
  <si>
    <t>'Quote_Transaction_Date',</t>
  </si>
  <si>
    <t>'OriginalQuoteDate',</t>
  </si>
  <si>
    <t>'InceptionDate',</t>
  </si>
  <si>
    <t>'OriginalInceptionDate',</t>
  </si>
  <si>
    <t>'PolicyType',</t>
  </si>
  <si>
    <t>'Postcode',</t>
  </si>
  <si>
    <t>'Area',</t>
  </si>
  <si>
    <t>'District',</t>
  </si>
  <si>
    <t>'LYPremium',</t>
  </si>
  <si>
    <t>'Sector',</t>
  </si>
  <si>
    <t>'Prop_Date_Of_Birth',</t>
  </si>
  <si>
    <t>'MedCond',</t>
  </si>
  <si>
    <t>'LicenceType',</t>
  </si>
  <si>
    <t>'LicenceDate',</t>
  </si>
  <si>
    <t>'Residence_Year',</t>
  </si>
  <si>
    <t>'Gender',</t>
  </si>
  <si>
    <t>'DRV_Relationship',</t>
  </si>
  <si>
    <t>'Prev_Ins_Decline',</t>
  </si>
  <si>
    <t>'Occupation',</t>
  </si>
  <si>
    <t>'R_Business',</t>
  </si>
  <si>
    <t>'PT_Occupation',</t>
  </si>
  <si>
    <t>'R_PT_Business',</t>
  </si>
  <si>
    <t>'NonRTAConv',</t>
  </si>
  <si>
    <t>'DOB_1',</t>
  </si>
  <si>
    <t>'MedCond_1',</t>
  </si>
  <si>
    <t>'Occupation_Status_1',</t>
  </si>
  <si>
    <t>'PT_Occupation_Status_1',</t>
  </si>
  <si>
    <t>'LicenceType_1',</t>
  </si>
  <si>
    <t>'LicenceDate_1',</t>
  </si>
  <si>
    <t>'Residence_Year_1',</t>
  </si>
  <si>
    <t>'Gender_1',</t>
  </si>
  <si>
    <t>'DRV_Relationship_1',</t>
  </si>
  <si>
    <t>'Prev_Ins_Decline_1',</t>
  </si>
  <si>
    <t>'Occupation_1',</t>
  </si>
  <si>
    <t>'R_Business_1',</t>
  </si>
  <si>
    <t>'PT_Occupation_1',</t>
  </si>
  <si>
    <t>'R_PT_Business_1',</t>
  </si>
  <si>
    <t>'NonRTAConv_1',</t>
  </si>
  <si>
    <t>'DOB_2',</t>
  </si>
  <si>
    <t>'MedCond_2',</t>
  </si>
  <si>
    <t>'Occupation_Status_2',</t>
  </si>
  <si>
    <t>'PT_Occupation_Status_2',</t>
  </si>
  <si>
    <t>'LicenceType_2',</t>
  </si>
  <si>
    <t>'LicenceDate_2',</t>
  </si>
  <si>
    <t>'Residence_Year_2',</t>
  </si>
  <si>
    <t>'Gender_2',</t>
  </si>
  <si>
    <t>'DRV_Relationship_2',</t>
  </si>
  <si>
    <t>'Prev_Ins_Decline_2',</t>
  </si>
  <si>
    <t>'Occupation_2',</t>
  </si>
  <si>
    <t>'R_Business_2',</t>
  </si>
  <si>
    <t>'PT_Occupation_2',</t>
  </si>
  <si>
    <t>'R_PT_Business_2',</t>
  </si>
  <si>
    <t>'NonRTAConv_2',</t>
  </si>
  <si>
    <t>'DOB_3',</t>
  </si>
  <si>
    <t>'MedCond_3',</t>
  </si>
  <si>
    <t>'Occupation_Status_3',</t>
  </si>
  <si>
    <t>'PT_Occupation_Status_3',</t>
  </si>
  <si>
    <t>'LicenceType_3',</t>
  </si>
  <si>
    <t>'LicenceDate_3',</t>
  </si>
  <si>
    <t>'Residence_Year_3',</t>
  </si>
  <si>
    <t>'Gender_3',</t>
  </si>
  <si>
    <t>'DRV_Relationship_3',</t>
  </si>
  <si>
    <t>'Prev_Ins_Decline_3',</t>
  </si>
  <si>
    <t>'Occupation_3',</t>
  </si>
  <si>
    <t>'R_Business_3',</t>
  </si>
  <si>
    <t>'PT_Occupation_3',</t>
  </si>
  <si>
    <t>'R_PT_Business_3',</t>
  </si>
  <si>
    <t>'NonRTAConv_3',</t>
  </si>
  <si>
    <t>'DOB_4',</t>
  </si>
  <si>
    <t>'MedCond_4',</t>
  </si>
  <si>
    <t>'Occupation_Status_4',</t>
  </si>
  <si>
    <t>'PT_Occupation_Status_4',</t>
  </si>
  <si>
    <t>'LicenceType_4',</t>
  </si>
  <si>
    <t>'LicenceDate_4',</t>
  </si>
  <si>
    <t>'Residence_Year_4',</t>
  </si>
  <si>
    <t>'Gender_4',</t>
  </si>
  <si>
    <t>'DRV_Relationship_4',</t>
  </si>
  <si>
    <t>'Prev_Ins_Decline_4',</t>
  </si>
  <si>
    <t>'Occupation_4',</t>
  </si>
  <si>
    <t>'R_Business_4',</t>
  </si>
  <si>
    <t>'PT_Occupation_4',</t>
  </si>
  <si>
    <t>'R_PT_Business_4',</t>
  </si>
  <si>
    <t>'NonRTAConv_4',</t>
  </si>
  <si>
    <t>'PH_no',</t>
  </si>
  <si>
    <t>'KeptPostcode',</t>
  </si>
  <si>
    <t>'KeptDistrict',</t>
  </si>
  <si>
    <t>'KeptArea',</t>
  </si>
  <si>
    <t>'RegistrationNo',</t>
  </si>
  <si>
    <t>'ABI_Code',</t>
  </si>
  <si>
    <t>'PurchaseDate',</t>
  </si>
  <si>
    <t>'LeftHand',</t>
  </si>
  <si>
    <t>'IsVehicleImported',</t>
  </si>
  <si>
    <t>'Dash_Cam_Fitted',</t>
  </si>
  <si>
    <t>'Member_of_organisation',</t>
  </si>
  <si>
    <t>'Transmission',</t>
  </si>
  <si>
    <t>'Modification_5',</t>
  </si>
  <si>
    <t>'Modification_6',</t>
  </si>
  <si>
    <t>'KeptSector',</t>
  </si>
  <si>
    <t>'NCB_TypeOfInsurance',</t>
  </si>
  <si>
    <t>'NCB_HeldConstinuously',</t>
  </si>
  <si>
    <t>'NCB_Prev_Protected',</t>
  </si>
  <si>
    <t>'NCB_PrevInsurerCode',</t>
  </si>
  <si>
    <t>'NCB_ExpiryType',</t>
  </si>
  <si>
    <t>'NCB_Type',</t>
  </si>
  <si>
    <t>'ENR_SCID',</t>
  </si>
  <si>
    <t>'ENR_SIRA',</t>
  </si>
  <si>
    <t>'ENR_CUEPI',</t>
  </si>
  <si>
    <t>'RetailBlock',</t>
  </si>
  <si>
    <t>'ENR_CUEMOTOR',</t>
  </si>
  <si>
    <t>'ENR_CallReport_Match_Score',</t>
  </si>
  <si>
    <t>'ENR_CallReport_IDV',</t>
  </si>
  <si>
    <t>'ENR_CallReport',</t>
  </si>
  <si>
    <t>'TypeOfExposure',</t>
  </si>
  <si>
    <t>'Proposer_Claim_Incident_Date_1',</t>
  </si>
  <si>
    <t>'Proposer_Claim_DriverNum_1',</t>
  </si>
  <si>
    <t>'Proposer_Claim_ThisPolicy_1',</t>
  </si>
  <si>
    <t>'Proposer_Claim_Incident_Date_2',</t>
  </si>
  <si>
    <t>'Proposer_Claim_DriverNum_2',</t>
  </si>
  <si>
    <t>'Proposer_Claim_ThisPolicy_2',</t>
  </si>
  <si>
    <t>'Proposer_Claim_Incident_Date_3',</t>
  </si>
  <si>
    <t>'Proposer_Claim_DriverNum_3',</t>
  </si>
  <si>
    <t>'Proposer_Claim_ThisPolicy_3',</t>
  </si>
  <si>
    <t>'Proposer_Claim_Incident_Date_4',</t>
  </si>
  <si>
    <t>'Proposer_Claim_DriverNum_4',</t>
  </si>
  <si>
    <t>'Proposer_Claim_ThisPolicy_4',</t>
  </si>
  <si>
    <t>'Proposer_Claim_Incident_Date_5',</t>
  </si>
  <si>
    <t>'Proposer_Claim_DriverNum_5',</t>
  </si>
  <si>
    <t>'Proposer_Claim_ThisPolicy_5',</t>
  </si>
  <si>
    <t>'R_ND_Claim_Incident_Date_1',</t>
  </si>
  <si>
    <t>'R_ND_Claim_NDNum_1',</t>
  </si>
  <si>
    <t>'R_ND_Claim_ThisPolicy_1',</t>
  </si>
  <si>
    <t>'R_ND_Claim_Incident_Date_2',</t>
  </si>
  <si>
    <t>'R_ND_Claim_NDNum_2',</t>
  </si>
  <si>
    <t>'R_ND_Claim_ThisPolicy_2',</t>
  </si>
  <si>
    <t>'R_ND_Claim_Incident_Date_3',</t>
  </si>
  <si>
    <t>'R_ND_Claim_NDNum_3',</t>
  </si>
  <si>
    <t>'R_ND_Claim_ThisPolicy_3',</t>
  </si>
  <si>
    <t>'R_ND_Claim_Incident_Date_4',</t>
  </si>
  <si>
    <t>'R_ND_Claim_NDNum_4',</t>
  </si>
  <si>
    <t>'R_ND_Claim_ThisPolicy_4',</t>
  </si>
  <si>
    <t>'R_ND_Claim_Incident_Date_5',</t>
  </si>
  <si>
    <t>'R_ND_Claim_NDNum_5',</t>
  </si>
  <si>
    <t>'R_ND_Claim_ThisPolicy_5',</t>
  </si>
  <si>
    <t>'Proposer_ConvOffence_Date_1',</t>
  </si>
  <si>
    <t>'Proposer_Conv_DriverNum_1',</t>
  </si>
  <si>
    <t>'Proposer_ConvOffence_Date_2',</t>
  </si>
  <si>
    <t>'Proposer_Conv_DriverNum_2',</t>
  </si>
  <si>
    <t>'Proposer_ConvOffence_Date_3',</t>
  </si>
  <si>
    <t>'Proposer_Conv_DriverNum_3',</t>
  </si>
  <si>
    <t>'Proposer_ConvOffence_Date_4',</t>
  </si>
  <si>
    <t>'Proposer_Conv_DriverNum_4',</t>
  </si>
  <si>
    <t>'Proposer_ConvOffence_Date_5',</t>
  </si>
  <si>
    <t>'Proposer_Conv_DriverNum_5',</t>
  </si>
  <si>
    <t>'R_ND_Conv_Date_1',</t>
  </si>
  <si>
    <t>'R_ND_Conv_NDNum_1',</t>
  </si>
  <si>
    <t>'R_ND_Conv_Date_2',</t>
  </si>
  <si>
    <t>'R_ND_Conv_NDNum_2',</t>
  </si>
  <si>
    <t>'R_ND_Conv_Date_3',</t>
  </si>
  <si>
    <t>'R_ND_Conv_NDNum_3',</t>
  </si>
  <si>
    <t>'R_ND_Conv_Date_4',</t>
  </si>
  <si>
    <t>'R_ND_Conv_NDNum_4',</t>
  </si>
  <si>
    <t>'R_ND_Conv_Date_5',</t>
  </si>
  <si>
    <t>'R_ND_Conv_NDNum_5',</t>
  </si>
  <si>
    <t>'Quote_Marker',</t>
  </si>
  <si>
    <t>'Quote_Marker_Deduped',</t>
  </si>
  <si>
    <t>'Quote_Net',</t>
  </si>
  <si>
    <t>'Quote_Comm',</t>
  </si>
  <si>
    <t>'Quote_IPT',</t>
  </si>
  <si>
    <t>'Quote_GP',</t>
  </si>
  <si>
    <t>'Clickthrough_Marker',</t>
  </si>
  <si>
    <t>'Sale_Marker',</t>
  </si>
  <si>
    <t>'RTP_Marker',</t>
  </si>
  <si>
    <t>'Sold_Net',</t>
  </si>
  <si>
    <t>'Sold_Comm',</t>
  </si>
  <si>
    <t>'Sold_IPT',</t>
  </si>
  <si>
    <t>'Sold_GP',</t>
  </si>
  <si>
    <t>'Manufacturer',</t>
  </si>
  <si>
    <t>'Model_Desc',</t>
  </si>
  <si>
    <t>'Body_Style',</t>
  </si>
  <si>
    <t>'Type',</t>
  </si>
  <si>
    <t>'Body_Type_0001',</t>
  </si>
  <si>
    <t>'Vulnerability_Score',</t>
  </si>
  <si>
    <t>'AIL_POL_REF',</t>
  </si>
  <si>
    <t>'Policy_Number',</t>
  </si>
  <si>
    <t>'netp',</t>
  </si>
  <si>
    <t>'AffinityCode',</t>
  </si>
  <si>
    <t>'Cover',</t>
  </si>
  <si>
    <t>'PaymentFrequency',</t>
  </si>
  <si>
    <t>'Homeowner',</t>
  </si>
  <si>
    <t>'Class_Of_Use',</t>
  </si>
  <si>
    <t>'OtherVehicles',</t>
  </si>
  <si>
    <t>'Occupation_Status',</t>
  </si>
  <si>
    <t>'PT_Occupation_Status',</t>
  </si>
  <si>
    <t>'MaritalStatus',</t>
  </si>
  <si>
    <t>'OtherVehicles_1',</t>
  </si>
  <si>
    <t>'MaritalStatus_1',</t>
  </si>
  <si>
    <t>'OtherVehicles_2',</t>
  </si>
  <si>
    <t>'MaritalStatus_2',</t>
  </si>
  <si>
    <t>'OtherVehicles_3',</t>
  </si>
  <si>
    <t>'MaritalStatus_3',</t>
  </si>
  <si>
    <t>'OtherVehicles_4',</t>
  </si>
  <si>
    <t>'MaritalStatus_4',</t>
  </si>
  <si>
    <t>'DrivingRestriction',</t>
  </si>
  <si>
    <t>'Fuel_Type',</t>
  </si>
  <si>
    <t>'BodyType',</t>
  </si>
  <si>
    <t>'Registered_Keeper',</t>
  </si>
  <si>
    <t>'Owner',</t>
  </si>
  <si>
    <t>'Garaged',</t>
  </si>
  <si>
    <t>'Is_There_Signage',</t>
  </si>
  <si>
    <t>'Vehicle_Fitted_With_Racking',</t>
  </si>
  <si>
    <t>'Hazardous_goods',</t>
  </si>
  <si>
    <t>'Public_liability_in_force',</t>
  </si>
  <si>
    <t>'Modification_1',</t>
  </si>
  <si>
    <t>'Modification_2',</t>
  </si>
  <si>
    <t>'Modification_3',</t>
  </si>
  <si>
    <t>'Modification_4',</t>
  </si>
  <si>
    <t>'NCB_Protected',</t>
  </si>
  <si>
    <t>'MirrorBonus_year',</t>
  </si>
  <si>
    <t>'Proposer_Claim_NCB_Prejudiced_1',</t>
  </si>
  <si>
    <t>'Proposer_Claim_Type_1',</t>
  </si>
  <si>
    <t>'Proposer_Claim_NCB_Prejudiced_2',</t>
  </si>
  <si>
    <t>'Proposer_Claim_Type_2',</t>
  </si>
  <si>
    <t>'Proposer_Claim_NCB_Prejudiced_3',</t>
  </si>
  <si>
    <t>'Proposer_Claim_Type_3',</t>
  </si>
  <si>
    <t>'Proposer_Claim_NCB_Prejudiced_4',</t>
  </si>
  <si>
    <t>'Proposer_Claim_Type_4',</t>
  </si>
  <si>
    <t>'Proposer_Claim_NCB_Prejudiced_5',</t>
  </si>
  <si>
    <t>'Proposer_Claim_Type_5',</t>
  </si>
  <si>
    <t>'R_ND_Claim_NCB_Prejudiced_1',</t>
  </si>
  <si>
    <t>'R_ND_Claim_Type_1',</t>
  </si>
  <si>
    <t>'R_ND_Claim_NCB_Prejudiced_2',</t>
  </si>
  <si>
    <t>'R_ND_Claim_Type_2',</t>
  </si>
  <si>
    <t>'R_ND_Claim_NCB_Prejudiced_3',</t>
  </si>
  <si>
    <t>'R_ND_Claim_Type_3',</t>
  </si>
  <si>
    <t>'R_ND_Claim_NCB_Prejudiced_4',</t>
  </si>
  <si>
    <t>'R_ND_Claim_Type_4',</t>
  </si>
  <si>
    <t>'R_ND_Claim_NCB_Prejudiced_5',</t>
  </si>
  <si>
    <t>'R_ND_Claim_Type_5',</t>
  </si>
  <si>
    <t>'Proposer_Conv_Code_1',</t>
  </si>
  <si>
    <t>'Proposer_Conv_Code_2',</t>
  </si>
  <si>
    <t>'Proposer_Conv_Code_3',</t>
  </si>
  <si>
    <t>'Proposer_Conv_Code_4',</t>
  </si>
  <si>
    <t>'Proposer_Conv_Code_5',</t>
  </si>
  <si>
    <t>'R_ND_Conv_Code_1',</t>
  </si>
  <si>
    <t>'R_ND_Conv_Code_2',</t>
  </si>
  <si>
    <t>'R_ND_Conv_Code_3',</t>
  </si>
  <si>
    <t>'R_ND_Conv_Code_4',</t>
  </si>
  <si>
    <t>'R_ND_Conv_Code_5',</t>
  </si>
  <si>
    <t>'Body_Type',</t>
  </si>
  <si>
    <t>'Vehicle_Variant_Select'</t>
  </si>
  <si>
    <t>data$Driver_Count &lt;- as.numeric(data$Driver_Count)</t>
  </si>
  <si>
    <t>data$VolXS &lt;- as.numeric(data$VolXS)</t>
  </si>
  <si>
    <t>data$Children_Under_16 &lt;- as.numeric(data$Children_Under_16)</t>
  </si>
  <si>
    <t>data$Age &lt;- as.numeric(data$Age)</t>
  </si>
  <si>
    <t>data$Age_1 &lt;- as.numeric(data$Age_1)</t>
  </si>
  <si>
    <t>data$Age_2 &lt;- as.numeric(data$Age_2)</t>
  </si>
  <si>
    <t>data$Age_3 &lt;- as.numeric(data$Age_3)</t>
  </si>
  <si>
    <t>data$Age_4 &lt;- as.numeric(data$Age_4)</t>
  </si>
  <si>
    <t>data$MainDriver_No &lt;- as.numeric(data$MainDriver_No)</t>
  </si>
  <si>
    <t>data$NumOfDrivers &lt;- as.numeric(data$NumOfDrivers)</t>
  </si>
  <si>
    <t>data$NumberSeats &lt;- as.numeric(data$NumberSeats)</t>
  </si>
  <si>
    <t>data$GVW &lt;- as.numeric(data$GVW)</t>
  </si>
  <si>
    <t>data$Engine &lt;- as.numeric(data$Engine)</t>
  </si>
  <si>
    <t>data$YearOfMake &lt;- as.numeric(data$YearOfMake)</t>
  </si>
  <si>
    <t>data$Value &lt;- as.numeric(data$Value)</t>
  </si>
  <si>
    <t>data$Mileage &lt;- as.numeric(data$Mileage)</t>
  </si>
  <si>
    <t>data$PurchaseYear &lt;- as.numeric(data$PurchaseYear)</t>
  </si>
  <si>
    <t>data$NCB_Claimed &lt;- as.numeric(data$NCB_Claimed)</t>
  </si>
  <si>
    <t>data$Proposer_Conv_MthBan_1 &lt;- as.numeric(data$Proposer_Conv_MthBan_1)</t>
  </si>
  <si>
    <t>data$Proposer_Conv_MthBan_2 &lt;- as.numeric(data$Proposer_Conv_MthBan_2)</t>
  </si>
  <si>
    <t>data$Proposer_Conv_MthBan_3 &lt;- as.numeric(data$Proposer_Conv_MthBan_3)</t>
  </si>
  <si>
    <t>data$Proposer_Conv_MthBan_4 &lt;- as.numeric(data$Proposer_Conv_MthBan_4)</t>
  </si>
  <si>
    <t>data$Proposer_Conv_MthBan_5 &lt;- as.numeric(data$Proposer_Conv_MthBan_5)</t>
  </si>
  <si>
    <t>data$R_ND_Conv_MthBan_1 &lt;- as.numeric(data$R_ND_Conv_MthBan_1)</t>
  </si>
  <si>
    <t>data$R_ND_Conv_MthBan_2 &lt;- as.numeric(data$R_ND_Conv_MthBan_2)</t>
  </si>
  <si>
    <t>data$R_ND_Conv_MthBan_3 &lt;- as.numeric(data$R_ND_Conv_MthBan_3)</t>
  </si>
  <si>
    <t>data$R_ND_Conv_MthBan_4 &lt;- as.numeric(data$R_ND_Conv_MthBan_4)</t>
  </si>
  <si>
    <t>data$R_ND_Conv_MthBan_5 &lt;- as.numeric(data$R_ND_Conv_MthBan_5)</t>
  </si>
  <si>
    <t>data$Prop_Licence_Years &lt;- as.numeric(data$Prop_Licence_Years)</t>
  </si>
  <si>
    <t>data$NCB_Years &lt;- as.numeric(data$NCB_Years)</t>
  </si>
  <si>
    <t>data$Claims_Within_3_Years &lt;- as.numeric(data$Claims_Within_3_Years)</t>
  </si>
  <si>
    <t>data$Unexpired_Convictions &lt;- as.numeric(data$Unexpired_Convictions)</t>
  </si>
  <si>
    <t>data$NEP &lt;- as.numeric(data$NEP)</t>
  </si>
  <si>
    <t>'Claim_Count'</t>
  </si>
  <si>
    <t>data$AD_INC &lt;- as.numeric(data$AD_INC)</t>
  </si>
  <si>
    <t>data$FT_INC &lt;- as.numeric(data$FT_INC)</t>
  </si>
  <si>
    <t>data$WS_INC &lt;- as.numeric(data$WS_INC)</t>
  </si>
  <si>
    <t>data$TPD_INC &lt;- as.numeric(data$TPD_INC)</t>
  </si>
  <si>
    <t>data$TPI_INC &lt;- as.numeric(data$TPI_INC)</t>
  </si>
  <si>
    <t>AffinityCode_ACCF</t>
  </si>
  <si>
    <t>AffinityCode_ACCM</t>
  </si>
  <si>
    <t>AffinityCode_ACDT</t>
  </si>
  <si>
    <t>AffinityCode_ACDW</t>
  </si>
  <si>
    <t>AffinityCode_ACGC</t>
  </si>
  <si>
    <t>AffinityCode_ACMS</t>
  </si>
  <si>
    <t>Cover_Comprehensive</t>
  </si>
  <si>
    <t>Cover_Third.Party.Fire.And.Theft</t>
  </si>
  <si>
    <t>PaymentFrequency_Annual</t>
  </si>
  <si>
    <t>PaymentFrequency_Monthly</t>
  </si>
  <si>
    <t>Homeowner_N</t>
  </si>
  <si>
    <t>Homeowner_Y</t>
  </si>
  <si>
    <t>Class_Of_Use_CarriageOfGoods</t>
  </si>
  <si>
    <t>Class_Of_Use_Hire.Reward</t>
  </si>
  <si>
    <t>Class_Of_Use_SD.P</t>
  </si>
  <si>
    <t>OtherVehicles_N</t>
  </si>
  <si>
    <t>OtherVehicles_Y</t>
  </si>
  <si>
    <t>Occupation_Status_Employed</t>
  </si>
  <si>
    <t>Occupation_Status_Household.Duties</t>
  </si>
  <si>
    <t>Occupation_Status_Not.Employed.Due.to.Disability</t>
  </si>
  <si>
    <t>Occupation_Status_Other</t>
  </si>
  <si>
    <t>Occupation_Status_Retired</t>
  </si>
  <si>
    <t>Occupation_Status_Self.Employed</t>
  </si>
  <si>
    <t>Occupation_Status_Voluntary</t>
  </si>
  <si>
    <t>PT_Occupation_Status_Employed</t>
  </si>
  <si>
    <t>PT_Occupation_Status_None</t>
  </si>
  <si>
    <t>PT_Occupation_Status_Self.Employed</t>
  </si>
  <si>
    <t>MaritalStatus_Civil.Partnership</t>
  </si>
  <si>
    <t>MaritalStatus_Divorced.Only</t>
  </si>
  <si>
    <t>MaritalStatus_Married</t>
  </si>
  <si>
    <t>MaritalStatus_Single</t>
  </si>
  <si>
    <t>MaritalStatus_Widowed</t>
  </si>
  <si>
    <t>OtherVehicles_1_N</t>
  </si>
  <si>
    <t>OtherVehicles_1_N.A</t>
  </si>
  <si>
    <t>OtherVehicles_1_Y</t>
  </si>
  <si>
    <t>MaritalStatus_1_Civil.Partnership</t>
  </si>
  <si>
    <t>MaritalStatus_1_Divorced.Only</t>
  </si>
  <si>
    <t>MaritalStatus_1_Married</t>
  </si>
  <si>
    <t>MaritalStatus_1_N.A</t>
  </si>
  <si>
    <t>MaritalStatus_1_Single</t>
  </si>
  <si>
    <t>MaritalStatus_1_Widowed</t>
  </si>
  <si>
    <t>OtherVehicles_2_N</t>
  </si>
  <si>
    <t>OtherVehicles_2_N.A</t>
  </si>
  <si>
    <t>OtherVehicles_2_Y</t>
  </si>
  <si>
    <t>MaritalStatus_2_Civil.Partnership</t>
  </si>
  <si>
    <t>MaritalStatus_2_Divorced.Only</t>
  </si>
  <si>
    <t>MaritalStatus_2_Married</t>
  </si>
  <si>
    <t>MaritalStatus_2_N.A</t>
  </si>
  <si>
    <t>MaritalStatus_2_Single</t>
  </si>
  <si>
    <t>MaritalStatus_2_Widowed</t>
  </si>
  <si>
    <t>OtherVehicles_3_N</t>
  </si>
  <si>
    <t>OtherVehicles_3_N.A</t>
  </si>
  <si>
    <t>OtherVehicles_3_Y</t>
  </si>
  <si>
    <t>MaritalStatus_3_Civil.Partnership</t>
  </si>
  <si>
    <t>MaritalStatus_3_Divorced.Only</t>
  </si>
  <si>
    <t>MaritalStatus_3_Married</t>
  </si>
  <si>
    <t>MaritalStatus_3_N.A</t>
  </si>
  <si>
    <t>MaritalStatus_3_Single</t>
  </si>
  <si>
    <t>OtherVehicles_4_N</t>
  </si>
  <si>
    <t>OtherVehicles_4_N.A</t>
  </si>
  <si>
    <t>OtherVehicles_4_Y</t>
  </si>
  <si>
    <t>MaritalStatus_4_Civil.Partnership</t>
  </si>
  <si>
    <t>MaritalStatus_4_Divorced.Only</t>
  </si>
  <si>
    <t>MaritalStatus_4_Married</t>
  </si>
  <si>
    <t>MaritalStatus_4_N.A</t>
  </si>
  <si>
    <t>MaritalStatus_4_Single</t>
  </si>
  <si>
    <t>MaritalStatus_4_Widowed</t>
  </si>
  <si>
    <t>DrivingRestriction_Insured.and.Spouse</t>
  </si>
  <si>
    <t>DrivingRestriction_Insured.Only</t>
  </si>
  <si>
    <t>DrivingRestriction_N.Amed.Drivers</t>
  </si>
  <si>
    <t>Fuel_Type_Diesel</t>
  </si>
  <si>
    <t>Fuel_Type_Petrol</t>
  </si>
  <si>
    <t>BodyType_Flat.back</t>
  </si>
  <si>
    <t>BodyType_Pickup</t>
  </si>
  <si>
    <t>BodyType_Tipper</t>
  </si>
  <si>
    <t>BodyType_Van</t>
  </si>
  <si>
    <t>Registered_Keeper_Partner...Civil</t>
  </si>
  <si>
    <t>Registered_Keeper_Partner...Common.Law</t>
  </si>
  <si>
    <t>Registered_Keeper_Proposer.Policyholder</t>
  </si>
  <si>
    <t>Registered_Keeper_Spouse</t>
  </si>
  <si>
    <t>Registered_Keeper_Vehicle.Leasing.Company</t>
  </si>
  <si>
    <t>Owner_Partner...Common.Law</t>
  </si>
  <si>
    <t>Owner_Proposer.Policyholder</t>
  </si>
  <si>
    <t>Owner_Spouse</t>
  </si>
  <si>
    <t>Owner_Vehicle.Leasing.Company</t>
  </si>
  <si>
    <t>Garaged_.None.</t>
  </si>
  <si>
    <t>Garaged_Driveway</t>
  </si>
  <si>
    <t>Garaged_Garage</t>
  </si>
  <si>
    <t>Garaged_Roadside</t>
  </si>
  <si>
    <t>Is_There_Signage_N</t>
  </si>
  <si>
    <t>Is_There_Signage_Y</t>
  </si>
  <si>
    <t>Vehicle_Fitted_With_Racking_N</t>
  </si>
  <si>
    <t>Vehicle_Fitted_With_Racking_Y</t>
  </si>
  <si>
    <t>Hazardous_goods_N</t>
  </si>
  <si>
    <t>Hazardous_goods_Y</t>
  </si>
  <si>
    <t>Public_liability_in_force_N</t>
  </si>
  <si>
    <t>Public_liability_in_force_Y</t>
  </si>
  <si>
    <t>Modification_1_Adapted.For.Disability</t>
  </si>
  <si>
    <t>Modification_1_Air.Conditioning</t>
  </si>
  <si>
    <t>Modification_1_Alloy.Wheels</t>
  </si>
  <si>
    <t>Modification_1_Animal.Dog.Barriers</t>
  </si>
  <si>
    <t>Modification_1_Driving.Lights</t>
  </si>
  <si>
    <t>Modification_1_Fog.Lamps</t>
  </si>
  <si>
    <t>Modification_1_High.Level.Brake.Light</t>
  </si>
  <si>
    <t>Modification_1_LPG.Conversion</t>
  </si>
  <si>
    <t>Modification_1_Magnetic.Removable.Signs</t>
  </si>
  <si>
    <t>Modification_1_N.A</t>
  </si>
  <si>
    <t>Modification_1_Painted.Signs..Under.25..of.side.and.door.</t>
  </si>
  <si>
    <t>Modification_1_Parking.Sensors</t>
  </si>
  <si>
    <t>Modification_1_Removal.Of.Seats</t>
  </si>
  <si>
    <t>Modification_1_Roof.Rack</t>
  </si>
  <si>
    <t>Modification_1_Satellite.N.Avigation.Equipment</t>
  </si>
  <si>
    <t>Modification_1_Spot.Lights</t>
  </si>
  <si>
    <t>Modification_1_Standard.Engine.Replacement</t>
  </si>
  <si>
    <t>Modification_1_Sunroof</t>
  </si>
  <si>
    <t>Modification_1_Tinted.Windows.or.Privacy.Glass</t>
  </si>
  <si>
    <t>Modification_1_Towbar</t>
  </si>
  <si>
    <t>Modification_1_Water.Tank.s.</t>
  </si>
  <si>
    <t>Modification_1_Wheel.Trims</t>
  </si>
  <si>
    <t>Modification_1_Wheelchair.Clamps.Straps</t>
  </si>
  <si>
    <t>Modification_1_Wheelchair.Lift.Ramp.Winch</t>
  </si>
  <si>
    <t>Modification_2_Alloy.Wheels</t>
  </si>
  <si>
    <t>Modification_2_Car.Phones</t>
  </si>
  <si>
    <t>Modification_2_ExterN.Al.Racking</t>
  </si>
  <si>
    <t>Modification_2_Fog.Lamps</t>
  </si>
  <si>
    <t>Modification_2_Locking.Wheel.Nuts</t>
  </si>
  <si>
    <t>Modification_2_N.A</t>
  </si>
  <si>
    <t>Modification_2_Parking.Sensors</t>
  </si>
  <si>
    <t>Modification_2_Removal.Of.Seats</t>
  </si>
  <si>
    <t>Modification_2_Roof.Rack</t>
  </si>
  <si>
    <t>Modification_2_Satellite.N.Avigation.Equipment</t>
  </si>
  <si>
    <t>Modification_2_Sunroof</t>
  </si>
  <si>
    <t>Modification_2_Tinted.Windows.or.Privacy.Glass</t>
  </si>
  <si>
    <t>Modification_2_Towbar</t>
  </si>
  <si>
    <t>Modification_2_Wheel.Trims</t>
  </si>
  <si>
    <t>Modification_2_Wheelchair.Clamps.Straps</t>
  </si>
  <si>
    <t>Modification_2_Wheelchair.Lift.Ramp.Winch</t>
  </si>
  <si>
    <t>Modification_3_Alloy.Wheels</t>
  </si>
  <si>
    <t>Modification_3_Fog.Lamps</t>
  </si>
  <si>
    <t>Modification_3_Locking.Wheel.Nuts</t>
  </si>
  <si>
    <t>Modification_3_N.A</t>
  </si>
  <si>
    <t>Modification_3_Parking.Sensors</t>
  </si>
  <si>
    <t>Modification_3_Roof.Rack</t>
  </si>
  <si>
    <t>Modification_3_Satellite.N.Avigation.Equipment</t>
  </si>
  <si>
    <t>Modification_3_Tinted.Windows.or.Privacy.Glass</t>
  </si>
  <si>
    <t>Modification_3_Towbar</t>
  </si>
  <si>
    <t>Modification_4_Locking.Wheel.Nuts</t>
  </si>
  <si>
    <t>Modification_4_N.A</t>
  </si>
  <si>
    <t>Modification_4_Parking.Sensors</t>
  </si>
  <si>
    <t>Modification_4_Roof.Rack</t>
  </si>
  <si>
    <t>Modification_4_Wheelchair.Lift.Ramp.Winch</t>
  </si>
  <si>
    <t>NCB_Protected_N</t>
  </si>
  <si>
    <t>NCB_Protected_Y</t>
  </si>
  <si>
    <t>MirrorBonus_year_Company.Car.with.SDP</t>
  </si>
  <si>
    <t>MirrorBonus_year_Company.Car.without.SDP</t>
  </si>
  <si>
    <t>MirrorBonus_year_Motorcycle</t>
  </si>
  <si>
    <t>MirrorBonus_year_N.A</t>
  </si>
  <si>
    <t>MirrorBonus_year_N.Amed.Driver.on.Another.Policy</t>
  </si>
  <si>
    <t>MirrorBonus_year_Private.Car</t>
  </si>
  <si>
    <t>MirrorBonus_year_Van</t>
  </si>
  <si>
    <t>Proposer_Claim_NCB_Prejudiced_1_N</t>
  </si>
  <si>
    <t>Proposer_Claim_NCB_Prejudiced_1_N.A</t>
  </si>
  <si>
    <t>Proposer_Claim_NCB_Prejudiced_1_Y</t>
  </si>
  <si>
    <t>Proposer_Claim_Type_1_Attempted.Theft</t>
  </si>
  <si>
    <t>Proposer_Claim_Type_1_Both.Cars.Reversed...Car.park</t>
  </si>
  <si>
    <t>Proposer_Claim_Type_1_Both.Cars.Reversed...Street</t>
  </si>
  <si>
    <t>Proposer_Claim_Type_1_Driver.Cut.into.Third.Party.s.Lane</t>
  </si>
  <si>
    <t>Proposer_Claim_Type_1_Driver.Hit.Animal</t>
  </si>
  <si>
    <t>Proposer_Claim_Type_1_Driver.Hit.Cyclist</t>
  </si>
  <si>
    <t>Proposer_Claim_Type_1_Driver.Hit.Immobile.Object</t>
  </si>
  <si>
    <t>Proposer_Claim_Type_1_Driver.Hit.Parked.Vehicle</t>
  </si>
  <si>
    <t>Proposer_Claim_Type_1_Driver.Hit.Pedestrian</t>
  </si>
  <si>
    <t>Proposer_Claim_Type_1_Driver.Hit.StatioN.Ary.Car</t>
  </si>
  <si>
    <t>Proposer_Claim_Type_1_Driver.Hit.Third.Party</t>
  </si>
  <si>
    <t>Proposer_Claim_Type_1_Driver.Hit.Third.Party.in.Rear</t>
  </si>
  <si>
    <t>Proposer_Claim_Type_1_Driver.Lost.Control</t>
  </si>
  <si>
    <t>Proposer_Claim_Type_1_Driver.Reversed.into.Car</t>
  </si>
  <si>
    <t>Proposer_Claim_Type_1_Driver.Skidded</t>
  </si>
  <si>
    <t>Proposer_Claim_Type_1_Effect.of.Weather..Storm.</t>
  </si>
  <si>
    <t>Proposer_Claim_Type_1_Fire.Partial.Damage</t>
  </si>
  <si>
    <t>Proposer_Claim_Type_1_Fire.Total.Loss</t>
  </si>
  <si>
    <t>Proposer_Claim_Type_1_Flood.Damage</t>
  </si>
  <si>
    <t>Proposer_Claim_Type_1_Multi.Vehicle.Collision</t>
  </si>
  <si>
    <t>Proposer_Claim_Type_1_N.A</t>
  </si>
  <si>
    <t>Proposer_Claim_Type_1_Object.Hit.Vehicle</t>
  </si>
  <si>
    <t>Proposer_Claim_Type_1_Theft</t>
  </si>
  <si>
    <t>Proposer_Claim_Type_1_Theft.PersoN.Al.Effects</t>
  </si>
  <si>
    <t>Proposer_Claim_Type_1_Theft.Vehicle.not.Recovered</t>
  </si>
  <si>
    <t>Proposer_Claim_Type_1_Theft.Vehicle.Recovered</t>
  </si>
  <si>
    <t>Proposer_Claim_Type_1_Theft.Vehicle.Repairable</t>
  </si>
  <si>
    <t>Proposer_Claim_Type_1_Third.Party.Cut.into.Drivers.Lane</t>
  </si>
  <si>
    <t>Proposer_Claim_Type_1_Third.Party.Hit.Driver</t>
  </si>
  <si>
    <t>Proposer_Claim_Type_1_Third.Party.Hit.Driver.in.Rear</t>
  </si>
  <si>
    <t>Proposer_Claim_Type_1_Third.Party.Swerved.and.Hit.Driver</t>
  </si>
  <si>
    <t>Proposer_Claim_Type_1_Unknown.Third.Party.Hit.Stopped.Insured</t>
  </si>
  <si>
    <t>Proposer_Claim_Type_1_Vandalism.Repairable</t>
  </si>
  <si>
    <t>Proposer_Claim_Type_1_Vandalism.Total.Loss</t>
  </si>
  <si>
    <t>Proposer_Claim_Type_1_Windscreen.Crack</t>
  </si>
  <si>
    <t>Proposer_Claim_Type_1_Windscreen.Smashed</t>
  </si>
  <si>
    <t>Proposer_Claim_NCB_Prejudiced_2_N</t>
  </si>
  <si>
    <t>Proposer_Claim_NCB_Prejudiced_2_N.A</t>
  </si>
  <si>
    <t>Proposer_Claim_NCB_Prejudiced_2_Y</t>
  </si>
  <si>
    <t>Proposer_Claim_Type_2_Attempted.Theft</t>
  </si>
  <si>
    <t>Proposer_Claim_Type_2_Driver.Hit.Cyclist</t>
  </si>
  <si>
    <t>Proposer_Claim_Type_2_Driver.Hit.Immobile.Object</t>
  </si>
  <si>
    <t>Proposer_Claim_Type_2_Driver.Hit.StatioN.Ary.Car</t>
  </si>
  <si>
    <t>Proposer_Claim_Type_2_Driver.Hit.Third.Party</t>
  </si>
  <si>
    <t>Proposer_Claim_Type_2_Driver.Reversed.into.Car</t>
  </si>
  <si>
    <t>Proposer_Claim_Type_2_Effect.of.Weather..Storm.</t>
  </si>
  <si>
    <t>Proposer_Claim_Type_2_Fire.Partial.Damage</t>
  </si>
  <si>
    <t>Proposer_Claim_Type_2_Fire.Total.Loss</t>
  </si>
  <si>
    <t>Proposer_Claim_Type_2_Flood.Damage</t>
  </si>
  <si>
    <t>Proposer_Claim_Type_2_Multi.Vehicle.Collision</t>
  </si>
  <si>
    <t>Proposer_Claim_Type_2_N.A</t>
  </si>
  <si>
    <t>Proposer_Claim_Type_2_Theft</t>
  </si>
  <si>
    <t>Proposer_Claim_Type_2_Theft.PersoN.Al.Effects</t>
  </si>
  <si>
    <t>Proposer_Claim_Type_2_Theft.Vehicle.not.Recovered</t>
  </si>
  <si>
    <t>Proposer_Claim_Type_2_Theft.Vehicle.Recovered</t>
  </si>
  <si>
    <t>Proposer_Claim_Type_2_Third.Party.Hit.Driver</t>
  </si>
  <si>
    <t>Proposer_Claim_Type_2_Third.Party.Hit.Driver.in.Rear</t>
  </si>
  <si>
    <t>Proposer_Claim_Type_2_Third.Party.Swerved.and.Hit.Driver</t>
  </si>
  <si>
    <t>Proposer_Claim_Type_2_Unknown.Third.Party.Hit.Stopped.Insured</t>
  </si>
  <si>
    <t>Proposer_Claim_Type_2_Vandalism.Repairable</t>
  </si>
  <si>
    <t>Proposer_Claim_Type_2_Vandalism.Total.Loss</t>
  </si>
  <si>
    <t>Proposer_Claim_Type_2_Windscreen.Crack</t>
  </si>
  <si>
    <t>Proposer_Claim_Type_2_Windscreen.Smashed</t>
  </si>
  <si>
    <t>Proposer_Claim_NCB_Prejudiced_3_N</t>
  </si>
  <si>
    <t>Proposer_Claim_NCB_Prejudiced_3_N.A</t>
  </si>
  <si>
    <t>Proposer_Claim_NCB_Prejudiced_3_Y</t>
  </si>
  <si>
    <t>Proposer_Claim_Type_3_Attempted.Theft</t>
  </si>
  <si>
    <t>Proposer_Claim_Type_3_Driver.Hit.Immobile.Object</t>
  </si>
  <si>
    <t>Proposer_Claim_Type_3_Driver.Hit.StatioN.Ary.Car</t>
  </si>
  <si>
    <t>Proposer_Claim_Type_3_Driver.Hit.Third.Party</t>
  </si>
  <si>
    <t>Proposer_Claim_Type_3_Fire.Partial.Damage</t>
  </si>
  <si>
    <t>Proposer_Claim_Type_3_Multi.Vehicle.Collision</t>
  </si>
  <si>
    <t>Proposer_Claim_Type_3_N.A</t>
  </si>
  <si>
    <t>Proposer_Claim_Type_3_Theft.PersoN.Al.Effects</t>
  </si>
  <si>
    <t>Proposer_Claim_Type_3_Theft.Vehicle.not.Recovered</t>
  </si>
  <si>
    <t>Proposer_Claim_Type_3_Theft.Vehicle.Recovered</t>
  </si>
  <si>
    <t>Proposer_Claim_Type_3_Third.Party.Hit.Driver</t>
  </si>
  <si>
    <t>Proposer_Claim_Type_3_Third.Party.Hit.Driver.in.Rear</t>
  </si>
  <si>
    <t>Proposer_Claim_Type_3_Unknown.Third.Party.Hit.Stopped.Insured</t>
  </si>
  <si>
    <t>Proposer_Claim_Type_3_Vandalism.Repairable</t>
  </si>
  <si>
    <t>Proposer_Claim_Type_3_Vandalism.Total.Loss</t>
  </si>
  <si>
    <t>Proposer_Claim_Type_3_Windscreen.Crack</t>
  </si>
  <si>
    <t>Proposer_Claim_Type_3_Windscreen.Smashed</t>
  </si>
  <si>
    <t>Proposer_Claim_NCB_Prejudiced_4_N</t>
  </si>
  <si>
    <t>Proposer_Claim_NCB_Prejudiced_4_N.A</t>
  </si>
  <si>
    <t>Proposer_Claim_NCB_Prejudiced_4_Y</t>
  </si>
  <si>
    <t>Proposer_Claim_Type_4_Driver.Hit.Immobile.Object</t>
  </si>
  <si>
    <t>Proposer_Claim_Type_4_Driver.Hit.Third.Party</t>
  </si>
  <si>
    <t>Proposer_Claim_Type_4_Fire.Total.Loss</t>
  </si>
  <si>
    <t>Proposer_Claim_Type_4_Multi.Vehicle.Collision</t>
  </si>
  <si>
    <t>Proposer_Claim_Type_4_N.A</t>
  </si>
  <si>
    <t>Proposer_Claim_Type_4_Third.Party.Hit.Driver</t>
  </si>
  <si>
    <t>Proposer_Claim_Type_4_Third.Party.Hit.Driver.in.Rear</t>
  </si>
  <si>
    <t>Proposer_Claim_Type_4_Vandalism.Repairable</t>
  </si>
  <si>
    <t>Proposer_Claim_Type_4_Windscreen.Crack</t>
  </si>
  <si>
    <t>Proposer_Claim_Type_4_Windscreen.Smashed</t>
  </si>
  <si>
    <t>Proposer_Claim_NCB_Prejudiced_5_N</t>
  </si>
  <si>
    <t>Proposer_Claim_NCB_Prejudiced_5_N.A</t>
  </si>
  <si>
    <t>Proposer_Claim_NCB_Prejudiced_5_Y</t>
  </si>
  <si>
    <t>Proposer_Claim_Type_5_Multi.Vehicle.Collision</t>
  </si>
  <si>
    <t>Proposer_Claim_Type_5_N.A</t>
  </si>
  <si>
    <t>Proposer_Claim_Type_5_Windscreen.Crack</t>
  </si>
  <si>
    <t>Proposer_Claim_Type_5_Windscreen.Smashed</t>
  </si>
  <si>
    <t>R_ND_Claim_NCB_Prejudiced_1_N.A</t>
  </si>
  <si>
    <t>R_ND_Claim_NCB_Prejudiced_1_No</t>
  </si>
  <si>
    <t>R_ND_Claim_NCB_Prejudiced_1_Yes</t>
  </si>
  <si>
    <t>R_ND_Claim_Type_1_Attempted.Theft</t>
  </si>
  <si>
    <t>R_ND_Claim_Type_1_Driver.Hit.Animal</t>
  </si>
  <si>
    <t>R_ND_Claim_Type_1_Driver.Hit.Immobile.Object</t>
  </si>
  <si>
    <t>R_ND_Claim_Type_1_Driver.Hit.StatioN.Ary.Car</t>
  </si>
  <si>
    <t>R_ND_Claim_Type_1_Driver.Hit.Third.Party</t>
  </si>
  <si>
    <t>R_ND_Claim_Type_1_Driver.Reversed.into.Car</t>
  </si>
  <si>
    <t>R_ND_Claim_Type_1_Driver.Skidded</t>
  </si>
  <si>
    <t>R_ND_Claim_Type_1_Effect.of.Weather..Storm.</t>
  </si>
  <si>
    <t>R_ND_Claim_Type_1_Fire.Partial.Damage</t>
  </si>
  <si>
    <t>R_ND_Claim_Type_1_Flood.Damage</t>
  </si>
  <si>
    <t>R_ND_Claim_Type_1_Multi.Vehicle.Collision</t>
  </si>
  <si>
    <t>R_ND_Claim_Type_1_N.A</t>
  </si>
  <si>
    <t>R_ND_Claim_Type_1_Object.Hit.Vehicle</t>
  </si>
  <si>
    <t>R_ND_Claim_Type_1_Theft</t>
  </si>
  <si>
    <t>R_ND_Claim_Type_1_Theft.PersoN.Al.Effects</t>
  </si>
  <si>
    <t>R_ND_Claim_Type_1_Theft.Vehicle.not.Recovered</t>
  </si>
  <si>
    <t>R_ND_Claim_Type_1_Theft.Vehicle.Recovered</t>
  </si>
  <si>
    <t>R_ND_Claim_Type_1_Third.Party.Cut.into.Drivers.Lane</t>
  </si>
  <si>
    <t>R_ND_Claim_Type_1_Third.Party.Hit.Driver</t>
  </si>
  <si>
    <t>R_ND_Claim_Type_1_Third.Party.Hit.Driver.in.Rear</t>
  </si>
  <si>
    <t>R_ND_Claim_Type_1_Unknown.Third.Party.Hit.Stopped.Insured</t>
  </si>
  <si>
    <t>R_ND_Claim_Type_1_Vandalism.Repairable</t>
  </si>
  <si>
    <t>R_ND_Claim_Type_1_Vandalism.Total.Loss</t>
  </si>
  <si>
    <t>R_ND_Claim_Type_1_Windscreen.Crack</t>
  </si>
  <si>
    <t>R_ND_Claim_Type_1_Windscreen.Smashed</t>
  </si>
  <si>
    <t>R_ND_Claim_NCB_Prejudiced_2_N.A</t>
  </si>
  <si>
    <t>R_ND_Claim_NCB_Prejudiced_2_No</t>
  </si>
  <si>
    <t>R_ND_Claim_NCB_Prejudiced_2_Yes</t>
  </si>
  <si>
    <t>R_ND_Claim_Type_2_Driver.Hit.Immobile.Object</t>
  </si>
  <si>
    <t>R_ND_Claim_Type_2_Driver.Hit.Third.Party</t>
  </si>
  <si>
    <t>R_ND_Claim_Type_2_Fire.Total.Loss</t>
  </si>
  <si>
    <t>R_ND_Claim_Type_2_Multi.Vehicle.Collision</t>
  </si>
  <si>
    <t>R_ND_Claim_Type_2_N.A</t>
  </si>
  <si>
    <t>R_ND_Claim_Type_2_Object.Hit.Vehicle</t>
  </si>
  <si>
    <t>R_ND_Claim_Type_2_Theft.Vehicle.not.Recovered</t>
  </si>
  <si>
    <t>R_ND_Claim_Type_2_Third.Party.Hit.Driver</t>
  </si>
  <si>
    <t>R_ND_Claim_Type_2_Third.Party.Hit.Driver.in.Rear</t>
  </si>
  <si>
    <t>R_ND_Claim_Type_2_Vandalism.Repairable</t>
  </si>
  <si>
    <t>R_ND_Claim_Type_2_Vandalism.Total.Loss</t>
  </si>
  <si>
    <t>R_ND_Claim_Type_2_Windscreen.Smashed</t>
  </si>
  <si>
    <t>R_ND_Claim_NCB_Prejudiced_3_N.A</t>
  </si>
  <si>
    <t>R_ND_Claim_NCB_Prejudiced_3_No</t>
  </si>
  <si>
    <t>R_ND_Claim_NCB_Prejudiced_3_Yes</t>
  </si>
  <si>
    <t>R_ND_Claim_Type_3_Driver.Hit.Immobile.Object</t>
  </si>
  <si>
    <t>R_ND_Claim_Type_3_Driver.Hit.Third.Party</t>
  </si>
  <si>
    <t>R_ND_Claim_Type_3_Multi.Vehicle.Collision</t>
  </si>
  <si>
    <t>R_ND_Claim_Type_3_N.A</t>
  </si>
  <si>
    <t>R_ND_Claim_Type_3_Theft.Vehicle.not.Recovered</t>
  </si>
  <si>
    <t>R_ND_Claim_Type_3_Third.Party.Hit.Driver</t>
  </si>
  <si>
    <t>R_ND_Claim_Type_3_Third.Party.Hit.Driver.in.Rear</t>
  </si>
  <si>
    <t>R_ND_Claim_Type_3_Windscreen.Smashed</t>
  </si>
  <si>
    <t>R_ND_Claim_NCB_Prejudiced_4_N.A</t>
  </si>
  <si>
    <t>R_ND_Claim_NCB_Prejudiced_4_No</t>
  </si>
  <si>
    <t>R_ND_Claim_NCB_Prejudiced_4_Yes</t>
  </si>
  <si>
    <t>R_ND_Claim_Type_4_Driver.Hit.Immobile.Object</t>
  </si>
  <si>
    <t>R_ND_Claim_Type_4_Multi.Vehicle.Collision</t>
  </si>
  <si>
    <t>R_ND_Claim_Type_4_N.A</t>
  </si>
  <si>
    <t>R_ND_Claim_Type_4_Third.Party.Hit.Driver.in.Rear</t>
  </si>
  <si>
    <t>R_ND_Claim_NCB_Prejudiced_5_N.A</t>
  </si>
  <si>
    <t>R_ND_Claim_NCB_Prejudiced_5_No</t>
  </si>
  <si>
    <t>R_ND_Claim_Type_5_N.A</t>
  </si>
  <si>
    <t>R_ND_Claim_Type_5_Third.Party.Hit.Driver.in.Rear</t>
  </si>
  <si>
    <t>Proposer_Conv_Code_1_AC10</t>
  </si>
  <si>
    <t>Proposer_Conv_Code_1_AC20</t>
  </si>
  <si>
    <t>Proposer_Conv_Code_1_CD10</t>
  </si>
  <si>
    <t>Proposer_Conv_Code_1_CD20</t>
  </si>
  <si>
    <t>Proposer_Conv_Code_1_CD30</t>
  </si>
  <si>
    <t>Proposer_Conv_Code_1_CU10</t>
  </si>
  <si>
    <t>Proposer_Conv_Code_1_CU20</t>
  </si>
  <si>
    <t>Proposer_Conv_Code_1_CU30</t>
  </si>
  <si>
    <t>Proposer_Conv_Code_1_CU50</t>
  </si>
  <si>
    <t>Proposer_Conv_Code_1_DR10</t>
  </si>
  <si>
    <t>Proposer_Conv_Code_1_DR20</t>
  </si>
  <si>
    <t>Proposer_Conv_Code_1_DR40</t>
  </si>
  <si>
    <t>Proposer_Conv_Code_1_DR50</t>
  </si>
  <si>
    <t>Proposer_Conv_Code_1_IN10</t>
  </si>
  <si>
    <t>Proposer_Conv_Code_1_LC20</t>
  </si>
  <si>
    <t>Proposer_Conv_Code_1_MS60</t>
  </si>
  <si>
    <t>Proposer_Conv_Code_1_MW10</t>
  </si>
  <si>
    <t>Proposer_Conv_Code_1_N.A</t>
  </si>
  <si>
    <t>Proposer_Conv_Code_1_PC20</t>
  </si>
  <si>
    <t>Proposer_Conv_Code_1_PC30</t>
  </si>
  <si>
    <t>Proposer_Conv_Code_1_SP10</t>
  </si>
  <si>
    <t>Proposer_Conv_Code_1_SP20</t>
  </si>
  <si>
    <t>Proposer_Conv_Code_1_SP30</t>
  </si>
  <si>
    <t>Proposer_Conv_Code_1_SP36</t>
  </si>
  <si>
    <t>Proposer_Conv_Code_1_SP40</t>
  </si>
  <si>
    <t>Proposer_Conv_Code_1_SP50</t>
  </si>
  <si>
    <t>Proposer_Conv_Code_1_SP60</t>
  </si>
  <si>
    <t>Proposer_Conv_Code_1_TS10</t>
  </si>
  <si>
    <t>Proposer_Conv_Code_1_TS20</t>
  </si>
  <si>
    <t>Proposer_Conv_Code_1_TS30</t>
  </si>
  <si>
    <t>Proposer_Conv_Code_1_TS40</t>
  </si>
  <si>
    <t>Proposer_Conv_Code_1_TS50</t>
  </si>
  <si>
    <t>Proposer_Conv_Code_1_TS70</t>
  </si>
  <si>
    <t>Proposer_Conv_Code_1_TT99</t>
  </si>
  <si>
    <t>Proposer_Conv_Code_2_CD10</t>
  </si>
  <si>
    <t>Proposer_Conv_Code_2_CD20</t>
  </si>
  <si>
    <t>Proposer_Conv_Code_2_CD30</t>
  </si>
  <si>
    <t>Proposer_Conv_Code_2_CU30</t>
  </si>
  <si>
    <t>Proposer_Conv_Code_2_CU50</t>
  </si>
  <si>
    <t>Proposer_Conv_Code_2_DR10</t>
  </si>
  <si>
    <t>Proposer_Conv_Code_2_DR40</t>
  </si>
  <si>
    <t>Proposer_Conv_Code_2_LC20</t>
  </si>
  <si>
    <t>Proposer_Conv_Code_2_MW10</t>
  </si>
  <si>
    <t>Proposer_Conv_Code_2_N.A</t>
  </si>
  <si>
    <t>Proposer_Conv_Code_2_SP10</t>
  </si>
  <si>
    <t>Proposer_Conv_Code_2_SP20</t>
  </si>
  <si>
    <t>Proposer_Conv_Code_2_SP30</t>
  </si>
  <si>
    <t>Proposer_Conv_Code_2_SP40</t>
  </si>
  <si>
    <t>Proposer_Conv_Code_2_SP50</t>
  </si>
  <si>
    <t>Proposer_Conv_Code_2_SP60</t>
  </si>
  <si>
    <t>Proposer_Conv_Code_2_TS10</t>
  </si>
  <si>
    <t>Proposer_Conv_Code_2_TS50</t>
  </si>
  <si>
    <t>Proposer_Conv_Code_3_CD10</t>
  </si>
  <si>
    <t>Proposer_Conv_Code_3_DR10</t>
  </si>
  <si>
    <t>Proposer_Conv_Code_3_N.A</t>
  </si>
  <si>
    <t>Proposer_Conv_Code_3_SP10</t>
  </si>
  <si>
    <t>Proposer_Conv_Code_3_SP30</t>
  </si>
  <si>
    <t>Proposer_Conv_Code_3_SP50</t>
  </si>
  <si>
    <t>Proposer_Conv_Code_4_N.A</t>
  </si>
  <si>
    <t>Proposer_Conv_Code_4_SP50</t>
  </si>
  <si>
    <t>Proposer_Conv_Code_5_N.A</t>
  </si>
  <si>
    <t>R_ND_Conv_Code_1_CD10</t>
  </si>
  <si>
    <t>R_ND_Conv_Code_1_CD20</t>
  </si>
  <si>
    <t>R_ND_Conv_Code_1_CD30</t>
  </si>
  <si>
    <t>R_ND_Conv_Code_1_CU10</t>
  </si>
  <si>
    <t>R_ND_Conv_Code_1_CU20</t>
  </si>
  <si>
    <t>R_ND_Conv_Code_1_CU30</t>
  </si>
  <si>
    <t>R_ND_Conv_Code_1_CU50</t>
  </si>
  <si>
    <t>R_ND_Conv_Code_1_DR10</t>
  </si>
  <si>
    <t>R_ND_Conv_Code_1_DR20</t>
  </si>
  <si>
    <t>R_ND_Conv_Code_1_DR40</t>
  </si>
  <si>
    <t>R_ND_Conv_Code_1_LC20</t>
  </si>
  <si>
    <t>R_ND_Conv_Code_1_MS60</t>
  </si>
  <si>
    <t>R_ND_Conv_Code_1_N.A</t>
  </si>
  <si>
    <t>R_ND_Conv_Code_1_PC30</t>
  </si>
  <si>
    <t>R_ND_Conv_Code_1_SP10</t>
  </si>
  <si>
    <t>R_ND_Conv_Code_1_SP20</t>
  </si>
  <si>
    <t>R_ND_Conv_Code_1_SP30</t>
  </si>
  <si>
    <t>R_ND_Conv_Code_1_SP40</t>
  </si>
  <si>
    <t>R_ND_Conv_Code_1_SP50</t>
  </si>
  <si>
    <t>R_ND_Conv_Code_1_SP60</t>
  </si>
  <si>
    <t>R_ND_Conv_Code_1_TS10</t>
  </si>
  <si>
    <t>R_ND_Conv_Code_1_TS20</t>
  </si>
  <si>
    <t>R_ND_Conv_Code_1_TS50</t>
  </si>
  <si>
    <t>R_ND_Conv_Code_2_CU30</t>
  </si>
  <si>
    <t>R_ND_Conv_Code_2_N.A</t>
  </si>
  <si>
    <t>R_ND_Conv_Code_2_SP10</t>
  </si>
  <si>
    <t>R_ND_Conv_Code_2_SP20</t>
  </si>
  <si>
    <t>R_ND_Conv_Code_2_SP30</t>
  </si>
  <si>
    <t>R_ND_Conv_Code_2_SP50</t>
  </si>
  <si>
    <t>R_ND_Conv_Code_2_TS10</t>
  </si>
  <si>
    <t>R_ND_Conv_Code_3_N.A</t>
  </si>
  <si>
    <t>R_ND_Conv_Code_3_SP30</t>
  </si>
  <si>
    <t>R_ND_Conv_Code_4_N.A</t>
  </si>
  <si>
    <t>R_ND_Conv_Code_5_N.A</t>
  </si>
  <si>
    <t>Body_Type_4.x.4</t>
  </si>
  <si>
    <t>Body_Type_4.X.4</t>
  </si>
  <si>
    <t>Body_Type_Chassis</t>
  </si>
  <si>
    <t>Body_Type_Crew.Cab</t>
  </si>
  <si>
    <t>Body_Type_Double.Cab</t>
  </si>
  <si>
    <t>Body_Type_Lifestyle</t>
  </si>
  <si>
    <t>Body_Type_Minibus</t>
  </si>
  <si>
    <t>Body_Type_Tipper</t>
  </si>
  <si>
    <t>Body_Type_Unknown</t>
  </si>
  <si>
    <t>Body_Type_Van</t>
  </si>
  <si>
    <t>Vehicle_Variant_Select_Car.Derived</t>
  </si>
  <si>
    <t>Vehicle_Variant_Select_Combi.Cab</t>
  </si>
  <si>
    <t>Vehicle_Variant_Select_Crew.Cab</t>
  </si>
  <si>
    <t>Vehicle_Variant_Select_Double.Cab</t>
  </si>
  <si>
    <t>Vehicle_Variant_Select_MPV.Minibus</t>
  </si>
  <si>
    <t>Vehicle_Variant_Select_Unknown</t>
  </si>
  <si>
    <t>Vehicle_Variant_Select_Van.Single.Cab</t>
  </si>
  <si>
    <t>Tot_Inc</t>
  </si>
  <si>
    <t>NELR</t>
  </si>
  <si>
    <t>+ AffinityCode_ACCM</t>
  </si>
  <si>
    <t>+ AffinityCode_ACDT</t>
  </si>
  <si>
    <t>+ AffinityCode_ACDW</t>
  </si>
  <si>
    <t>+ AffinityCode_ACGC</t>
  </si>
  <si>
    <t>+ AffinityCode_ACMS</t>
  </si>
  <si>
    <t>+ Driver_Count</t>
  </si>
  <si>
    <t>+ VolXS</t>
  </si>
  <si>
    <t>+ Cover_Comprehensive</t>
  </si>
  <si>
    <t>+ Cover_Third.Party.Fire.And.Theft</t>
  </si>
  <si>
    <t>+ PaymentFrequency_Annual</t>
  </si>
  <si>
    <t>+ PaymentFrequency_Monthly</t>
  </si>
  <si>
    <t>+ Homeowner_N</t>
  </si>
  <si>
    <t>+ Homeowner_Y</t>
  </si>
  <si>
    <t>+ Children_Under_16</t>
  </si>
  <si>
    <t>+ Class_Of_Use_CarriageOfGoods</t>
  </si>
  <si>
    <t>+ Class_Of_Use_Hire.Reward</t>
  </si>
  <si>
    <t>+ Class_Of_Use_SD.P</t>
  </si>
  <si>
    <t>+ OtherVehicles_N</t>
  </si>
  <si>
    <t>+ OtherVehicles_Y</t>
  </si>
  <si>
    <t>+ Age</t>
  </si>
  <si>
    <t>+ Occupation_Status_Employed</t>
  </si>
  <si>
    <t>+ Occupation_Status_Household.Duties</t>
  </si>
  <si>
    <t>+ Occupation_Status_Not.Employed.Due.to.Disability</t>
  </si>
  <si>
    <t>+ Occupation_Status_Other</t>
  </si>
  <si>
    <t>+ Occupation_Status_Retired</t>
  </si>
  <si>
    <t>+ Occupation_Status_Self.Employed</t>
  </si>
  <si>
    <t>+ Occupation_Status_Voluntary</t>
  </si>
  <si>
    <t>+ PT_Occupation_Status_Employed</t>
  </si>
  <si>
    <t>+ PT_Occupation_Status_None</t>
  </si>
  <si>
    <t>+ PT_Occupation_Status_Self.Employed</t>
  </si>
  <si>
    <t>+ MaritalStatus_Civil.Partnership</t>
  </si>
  <si>
    <t>+ MaritalStatus_Divorced.Only</t>
  </si>
  <si>
    <t>+ MaritalStatus_Married</t>
  </si>
  <si>
    <t>+ MaritalStatus_Single</t>
  </si>
  <si>
    <t>+ MaritalStatus_Widowed</t>
  </si>
  <si>
    <t>+ OtherVehicles_1_N</t>
  </si>
  <si>
    <t>+ OtherVehicles_1_Y</t>
  </si>
  <si>
    <t>+ Age_1</t>
  </si>
  <si>
    <t>+ MaritalStatus_1_Civil.Partnership</t>
  </si>
  <si>
    <t>+ MaritalStatus_1_Divorced.Only</t>
  </si>
  <si>
    <t>+ MaritalStatus_1_Married</t>
  </si>
  <si>
    <t>+ MaritalStatus_1_Single</t>
  </si>
  <si>
    <t>+ MaritalStatus_1_Widowed</t>
  </si>
  <si>
    <t>+ OtherVehicles_2_N</t>
  </si>
  <si>
    <t>+ OtherVehicles_2_Y</t>
  </si>
  <si>
    <t>+ Age_2</t>
  </si>
  <si>
    <t>+ MaritalStatus_2_Civil.Partnership</t>
  </si>
  <si>
    <t>+ MaritalStatus_2_Divorced.Only</t>
  </si>
  <si>
    <t>+ MaritalStatus_2_Married</t>
  </si>
  <si>
    <t>+ MaritalStatus_2_Single</t>
  </si>
  <si>
    <t>+ MaritalStatus_2_Widowed</t>
  </si>
  <si>
    <t>+ OtherVehicles_3_N</t>
  </si>
  <si>
    <t>+ OtherVehicles_3_Y</t>
  </si>
  <si>
    <t>+ Age_3</t>
  </si>
  <si>
    <t>+ MaritalStatus_3_Civil.Partnership</t>
  </si>
  <si>
    <t>+ MaritalStatus_3_Divorced.Only</t>
  </si>
  <si>
    <t>+ MaritalStatus_3_Married</t>
  </si>
  <si>
    <t>+ MaritalStatus_3_Single</t>
  </si>
  <si>
    <t>+ OtherVehicles_4_N</t>
  </si>
  <si>
    <t>+ OtherVehicles_4_Y</t>
  </si>
  <si>
    <t>+ Age_4</t>
  </si>
  <si>
    <t>+ MaritalStatus_4_Civil.Partnership</t>
  </si>
  <si>
    <t>+ MaritalStatus_4_Divorced.Only</t>
  </si>
  <si>
    <t>+ MaritalStatus_4_Married</t>
  </si>
  <si>
    <t>+ MaritalStatus_4_Single</t>
  </si>
  <si>
    <t>+ MaritalStatus_4_Widowed</t>
  </si>
  <si>
    <t>+ MainDriver_No</t>
  </si>
  <si>
    <t>+ NumOfDrivers</t>
  </si>
  <si>
    <t>+ DrivingRestriction_Insured.and.Spouse</t>
  </si>
  <si>
    <t>+ DrivingRestriction_Insured.Only</t>
  </si>
  <si>
    <t>+ Fuel_Type_Diesel</t>
  </si>
  <si>
    <t>+ Fuel_Type_Petrol</t>
  </si>
  <si>
    <t>+ BodyType_Flat.back</t>
  </si>
  <si>
    <t>+ BodyType_Pickup</t>
  </si>
  <si>
    <t>+ BodyType_Tipper</t>
  </si>
  <si>
    <t>+ BodyType_Van</t>
  </si>
  <si>
    <t>+ NumberSeats</t>
  </si>
  <si>
    <t>+ GVW</t>
  </si>
  <si>
    <t>+ Engine</t>
  </si>
  <si>
    <t>+ Registered_Keeper_Partner...Civil</t>
  </si>
  <si>
    <t>+ Registered_Keeper_Partner...Common.Law</t>
  </si>
  <si>
    <t>+ Registered_Keeper_Proposer.Policyholder</t>
  </si>
  <si>
    <t>+ Registered_Keeper_Spouse</t>
  </si>
  <si>
    <t>+ Registered_Keeper_Vehicle.Leasing.Company</t>
  </si>
  <si>
    <t>+ Owner_Partner...Common.Law</t>
  </si>
  <si>
    <t>+ Owner_Proposer.Policyholder</t>
  </si>
  <si>
    <t>+ Owner_Spouse</t>
  </si>
  <si>
    <t>+ Owner_Vehicle.Leasing.Company</t>
  </si>
  <si>
    <t>+ Garaged_.None.</t>
  </si>
  <si>
    <t>+ Garaged_Driveway</t>
  </si>
  <si>
    <t>+ Garaged_Garage</t>
  </si>
  <si>
    <t>+ Garaged_Roadside</t>
  </si>
  <si>
    <t>+ YearOfMake</t>
  </si>
  <si>
    <t>+ Value</t>
  </si>
  <si>
    <t>+ Mileage</t>
  </si>
  <si>
    <t>+ Is_There_Signage_N</t>
  </si>
  <si>
    <t>+ Is_There_Signage_Y</t>
  </si>
  <si>
    <t>+ Vehicle_Fitted_With_Racking_N</t>
  </si>
  <si>
    <t>+ Vehicle_Fitted_With_Racking_Y</t>
  </si>
  <si>
    <t>+ Hazardous_goods_N</t>
  </si>
  <si>
    <t>+ Hazardous_goods_Y</t>
  </si>
  <si>
    <t>+ Public_liability_in_force_N</t>
  </si>
  <si>
    <t>+ Public_liability_in_force_Y</t>
  </si>
  <si>
    <t>+ PurchaseYear</t>
  </si>
  <si>
    <t>+ Modification_1_Adapted.For.Disability</t>
  </si>
  <si>
    <t>+ Modification_1_Air.Conditioning</t>
  </si>
  <si>
    <t>+ Modification_1_Alloy.Wheels</t>
  </si>
  <si>
    <t>+ Modification_1_Animal.Dog.Barriers</t>
  </si>
  <si>
    <t>+ Modification_1_Driving.Lights</t>
  </si>
  <si>
    <t>+ Modification_1_Fog.Lamps</t>
  </si>
  <si>
    <t>+ Modification_1_High.Level.Brake.Light</t>
  </si>
  <si>
    <t>+ Modification_1_LPG.Conversion</t>
  </si>
  <si>
    <t>+ Modification_1_Magnetic.Removable.Signs</t>
  </si>
  <si>
    <t>+ Modification_1_Painted.Signs..Under.25..of.side.and.door.</t>
  </si>
  <si>
    <t>+ Modification_1_Parking.Sensors</t>
  </si>
  <si>
    <t>+ Modification_1_Removal.Of.Seats</t>
  </si>
  <si>
    <t>+ Modification_1_Roof.Rack</t>
  </si>
  <si>
    <t>+ Modification_1_Satellite.N.Avigation.Equipment</t>
  </si>
  <si>
    <t>+ Modification_1_Spot.Lights</t>
  </si>
  <si>
    <t>+ Modification_1_Standard.Engine.Replacement</t>
  </si>
  <si>
    <t>+ Modification_1_Sunroof</t>
  </si>
  <si>
    <t>+ Modification_1_Tinted.Windows.or.Privacy.Glass</t>
  </si>
  <si>
    <t>+ Modification_1_Towbar</t>
  </si>
  <si>
    <t>+ Modification_1_Water.Tank.s.</t>
  </si>
  <si>
    <t>+ Modification_1_Wheel.Trims</t>
  </si>
  <si>
    <t>+ Modification_1_Wheelchair.Clamps.Straps</t>
  </si>
  <si>
    <t>+ Modification_1_Wheelchair.Lift.Ramp.Winch</t>
  </si>
  <si>
    <t>+ Modification_2_Alloy.Wheels</t>
  </si>
  <si>
    <t>+ Modification_2_Car.Phones</t>
  </si>
  <si>
    <t>+ Modification_2_ExterN.Al.Racking</t>
  </si>
  <si>
    <t>+ Modification_2_Fog.Lamps</t>
  </si>
  <si>
    <t>+ Modification_2_Locking.Wheel.Nuts</t>
  </si>
  <si>
    <t>+ Modification_2_Parking.Sensors</t>
  </si>
  <si>
    <t>+ Modification_2_Removal.Of.Seats</t>
  </si>
  <si>
    <t>+ Modification_2_Roof.Rack</t>
  </si>
  <si>
    <t>+ Modification_2_Satellite.N.Avigation.Equipment</t>
  </si>
  <si>
    <t>+ Modification_2_Sunroof</t>
  </si>
  <si>
    <t>+ Modification_2_Tinted.Windows.or.Privacy.Glass</t>
  </si>
  <si>
    <t>+ Modification_2_Towbar</t>
  </si>
  <si>
    <t>+ Modification_2_Wheel.Trims</t>
  </si>
  <si>
    <t>+ Modification_2_Wheelchair.Clamps.Straps</t>
  </si>
  <si>
    <t>+ Modification_2_Wheelchair.Lift.Ramp.Winch</t>
  </si>
  <si>
    <t>+ Modification_3_Alloy.Wheels</t>
  </si>
  <si>
    <t>+ Modification_3_Fog.Lamps</t>
  </si>
  <si>
    <t>+ Modification_3_Locking.Wheel.Nuts</t>
  </si>
  <si>
    <t>+ Modification_3_Parking.Sensors</t>
  </si>
  <si>
    <t>+ Modification_3_Roof.Rack</t>
  </si>
  <si>
    <t>+ Modification_3_Satellite.N.Avigation.Equipment</t>
  </si>
  <si>
    <t>+ Modification_3_Tinted.Windows.or.Privacy.Glass</t>
  </si>
  <si>
    <t>+ Modification_3_Towbar</t>
  </si>
  <si>
    <t>+ Modification_4_Locking.Wheel.Nuts</t>
  </si>
  <si>
    <t>+ Modification_4_Parking.Sensors</t>
  </si>
  <si>
    <t>+ Modification_4_Roof.Rack</t>
  </si>
  <si>
    <t>+ Modification_4_Wheelchair.Lift.Ramp.Winch</t>
  </si>
  <si>
    <t>+ NCB_Claimed</t>
  </si>
  <si>
    <t>+ NCB_Protected_N</t>
  </si>
  <si>
    <t>+ NCB_Protected_Y</t>
  </si>
  <si>
    <t>+ MirrorBonus_year_Company.Car.with.SDP</t>
  </si>
  <si>
    <t>+ MirrorBonus_year_Company.Car.without.SDP</t>
  </si>
  <si>
    <t>+ MirrorBonus_year_Motorcycle</t>
  </si>
  <si>
    <t>+ MirrorBonus_year_N.Amed.Driver.on.Another.Policy</t>
  </si>
  <si>
    <t>+ MirrorBonus_year_Private.Car</t>
  </si>
  <si>
    <t>+ MirrorBonus_year_Van</t>
  </si>
  <si>
    <t>+ Proposer_Claim_NCB_Prejudiced_1_N</t>
  </si>
  <si>
    <t>+ Proposer_Claim_NCB_Prejudiced_1_Y</t>
  </si>
  <si>
    <t>+ Proposer_Claim_Type_1_Attempted.Theft</t>
  </si>
  <si>
    <t>+ Proposer_Claim_Type_1_Both.Cars.Reversed...Car.park</t>
  </si>
  <si>
    <t>+ Proposer_Claim_Type_1_Both.Cars.Reversed...Street</t>
  </si>
  <si>
    <t>+ Proposer_Claim_Type_1_Driver.Cut.into.Third.Party.s.Lane</t>
  </si>
  <si>
    <t>+ Proposer_Claim_Type_1_Driver.Hit.Animal</t>
  </si>
  <si>
    <t>+ Proposer_Claim_Type_1_Driver.Hit.Cyclist</t>
  </si>
  <si>
    <t>+ Proposer_Claim_Type_1_Driver.Hit.Immobile.Object</t>
  </si>
  <si>
    <t>+ Proposer_Claim_Type_1_Driver.Hit.Parked.Vehicle</t>
  </si>
  <si>
    <t>+ Proposer_Claim_Type_1_Driver.Hit.Pedestrian</t>
  </si>
  <si>
    <t>+ Proposer_Claim_Type_1_Driver.Hit.StatioN.Ary.Car</t>
  </si>
  <si>
    <t>+ Proposer_Claim_Type_1_Driver.Hit.Third.Party</t>
  </si>
  <si>
    <t>+ Proposer_Claim_Type_1_Driver.Hit.Third.Party.in.Rear</t>
  </si>
  <si>
    <t>+ Proposer_Claim_Type_1_Driver.Lost.Control</t>
  </si>
  <si>
    <t>+ Proposer_Claim_Type_1_Driver.Reversed.into.Car</t>
  </si>
  <si>
    <t>+ Proposer_Claim_Type_1_Driver.Skidded</t>
  </si>
  <si>
    <t>+ Proposer_Claim_Type_1_Effect.of.Weather..Storm.</t>
  </si>
  <si>
    <t>+ Proposer_Claim_Type_1_Fire.Partial.Damage</t>
  </si>
  <si>
    <t>+ Proposer_Claim_Type_1_Fire.Total.Loss</t>
  </si>
  <si>
    <t>+ Proposer_Claim_Type_1_Flood.Damage</t>
  </si>
  <si>
    <t>+ Proposer_Claim_Type_1_Multi.Vehicle.Collision</t>
  </si>
  <si>
    <t>+ Proposer_Claim_Type_1_Object.Hit.Vehicle</t>
  </si>
  <si>
    <t>+ Proposer_Claim_Type_1_Theft</t>
  </si>
  <si>
    <t>+ Proposer_Claim_Type_1_Theft.PersoN.Al.Effects</t>
  </si>
  <si>
    <t>+ Proposer_Claim_Type_1_Theft.Vehicle.not.Recovered</t>
  </si>
  <si>
    <t>+ Proposer_Claim_Type_1_Theft.Vehicle.Recovered</t>
  </si>
  <si>
    <t>+ Proposer_Claim_Type_1_Theft.Vehicle.Repairable</t>
  </si>
  <si>
    <t>+ Proposer_Claim_Type_1_Third.Party.Cut.into.Drivers.Lane</t>
  </si>
  <si>
    <t>+ Proposer_Claim_Type_1_Third.Party.Hit.Driver</t>
  </si>
  <si>
    <t>+ Proposer_Claim_Type_1_Third.Party.Hit.Driver.in.Rear</t>
  </si>
  <si>
    <t>+ Proposer_Claim_Type_1_Third.Party.Swerved.and.Hit.Driver</t>
  </si>
  <si>
    <t>+ Proposer_Claim_Type_1_Unknown.Third.Party.Hit.Stopped.Insured</t>
  </si>
  <si>
    <t>+ Proposer_Claim_Type_1_Vandalism.Repairable</t>
  </si>
  <si>
    <t>+ Proposer_Claim_Type_1_Vandalism.Total.Loss</t>
  </si>
  <si>
    <t>+ Proposer_Claim_Type_1_Windscreen.Crack</t>
  </si>
  <si>
    <t>+ Proposer_Claim_Type_1_Windscreen.Smashed</t>
  </si>
  <si>
    <t>+ Proposer_Claim_NCB_Prejudiced_2_N</t>
  </si>
  <si>
    <t>+ Proposer_Claim_NCB_Prejudiced_2_Y</t>
  </si>
  <si>
    <t>+ Proposer_Claim_Type_2_Attempted.Theft</t>
  </si>
  <si>
    <t>+ Proposer_Claim_Type_2_Driver.Hit.Cyclist</t>
  </si>
  <si>
    <t>+ Proposer_Claim_Type_2_Driver.Hit.Immobile.Object</t>
  </si>
  <si>
    <t>+ Proposer_Claim_Type_2_Driver.Hit.StatioN.Ary.Car</t>
  </si>
  <si>
    <t>+ Proposer_Claim_Type_2_Driver.Hit.Third.Party</t>
  </si>
  <si>
    <t>+ Proposer_Claim_Type_2_Driver.Reversed.into.Car</t>
  </si>
  <si>
    <t>+ Proposer_Claim_Type_2_Effect.of.Weather..Storm.</t>
  </si>
  <si>
    <t>+ Proposer_Claim_Type_2_Fire.Partial.Damage</t>
  </si>
  <si>
    <t>+ Proposer_Claim_Type_2_Fire.Total.Loss</t>
  </si>
  <si>
    <t>+ Proposer_Claim_Type_2_Flood.Damage</t>
  </si>
  <si>
    <t>+ Proposer_Claim_Type_2_Multi.Vehicle.Collision</t>
  </si>
  <si>
    <t>+ Proposer_Claim_Type_2_Theft</t>
  </si>
  <si>
    <t>+ Proposer_Claim_Type_2_Theft.PersoN.Al.Effects</t>
  </si>
  <si>
    <t>+ Proposer_Claim_Type_2_Theft.Vehicle.not.Recovered</t>
  </si>
  <si>
    <t>+ Proposer_Claim_Type_2_Theft.Vehicle.Recovered</t>
  </si>
  <si>
    <t>+ Proposer_Claim_Type_2_Third.Party.Hit.Driver</t>
  </si>
  <si>
    <t>+ Proposer_Claim_Type_2_Third.Party.Hit.Driver.in.Rear</t>
  </si>
  <si>
    <t>+ Proposer_Claim_Type_2_Third.Party.Swerved.and.Hit.Driver</t>
  </si>
  <si>
    <t>+ Proposer_Claim_Type_2_Unknown.Third.Party.Hit.Stopped.Insured</t>
  </si>
  <si>
    <t>+ Proposer_Claim_Type_2_Vandalism.Repairable</t>
  </si>
  <si>
    <t>+ Proposer_Claim_Type_2_Vandalism.Total.Loss</t>
  </si>
  <si>
    <t>+ Proposer_Claim_Type_2_Windscreen.Crack</t>
  </si>
  <si>
    <t>+ Proposer_Claim_Type_2_Windscreen.Smashed</t>
  </si>
  <si>
    <t>+ Proposer_Claim_NCB_Prejudiced_3_N</t>
  </si>
  <si>
    <t>+ Proposer_Claim_NCB_Prejudiced_3_Y</t>
  </si>
  <si>
    <t>+ Proposer_Claim_Type_3_Attempted.Theft</t>
  </si>
  <si>
    <t>+ Proposer_Claim_Type_3_Driver.Hit.Immobile.Object</t>
  </si>
  <si>
    <t>+ Proposer_Claim_Type_3_Driver.Hit.StatioN.Ary.Car</t>
  </si>
  <si>
    <t>+ Proposer_Claim_Type_3_Driver.Hit.Third.Party</t>
  </si>
  <si>
    <t>+ Proposer_Claim_Type_3_Fire.Partial.Damage</t>
  </si>
  <si>
    <t>+ Proposer_Claim_Type_3_Multi.Vehicle.Collision</t>
  </si>
  <si>
    <t>+ Proposer_Claim_Type_3_Theft.PersoN.Al.Effects</t>
  </si>
  <si>
    <t>+ Proposer_Claim_Type_3_Theft.Vehicle.not.Recovered</t>
  </si>
  <si>
    <t>+ Proposer_Claim_Type_3_Theft.Vehicle.Recovered</t>
  </si>
  <si>
    <t>+ Proposer_Claim_Type_3_Third.Party.Hit.Driver</t>
  </si>
  <si>
    <t>+ Proposer_Claim_Type_3_Third.Party.Hit.Driver.in.Rear</t>
  </si>
  <si>
    <t>+ Proposer_Claim_Type_3_Unknown.Third.Party.Hit.Stopped.Insured</t>
  </si>
  <si>
    <t>+ Proposer_Claim_Type_3_Vandalism.Repairable</t>
  </si>
  <si>
    <t>+ Proposer_Claim_Type_3_Vandalism.Total.Loss</t>
  </si>
  <si>
    <t>+ Proposer_Claim_Type_3_Windscreen.Crack</t>
  </si>
  <si>
    <t>+ Proposer_Claim_Type_3_Windscreen.Smashed</t>
  </si>
  <si>
    <t>+ Proposer_Claim_NCB_Prejudiced_4_N</t>
  </si>
  <si>
    <t>+ Proposer_Claim_NCB_Prejudiced_4_Y</t>
  </si>
  <si>
    <t>+ Proposer_Claim_Type_4_Driver.Hit.Immobile.Object</t>
  </si>
  <si>
    <t>+ Proposer_Claim_Type_4_Driver.Hit.Third.Party</t>
  </si>
  <si>
    <t>+ Proposer_Claim_Type_4_Fire.Total.Loss</t>
  </si>
  <si>
    <t>+ Proposer_Claim_Type_4_Multi.Vehicle.Collision</t>
  </si>
  <si>
    <t>+ Proposer_Claim_Type_4_Third.Party.Hit.Driver</t>
  </si>
  <si>
    <t>+ Proposer_Claim_Type_4_Third.Party.Hit.Driver.in.Rear</t>
  </si>
  <si>
    <t>+ Proposer_Claim_Type_4_Vandalism.Repairable</t>
  </si>
  <si>
    <t>+ Proposer_Claim_Type_4_Windscreen.Crack</t>
  </si>
  <si>
    <t>+ Proposer_Claim_Type_4_Windscreen.Smashed</t>
  </si>
  <si>
    <t>+ Proposer_Claim_NCB_Prejudiced_5_N</t>
  </si>
  <si>
    <t>+ Proposer_Claim_NCB_Prejudiced_5_Y</t>
  </si>
  <si>
    <t>+ Proposer_Claim_Type_5_Multi.Vehicle.Collision</t>
  </si>
  <si>
    <t>+ Proposer_Claim_Type_5_Windscreen.Crack</t>
  </si>
  <si>
    <t>+ Proposer_Claim_Type_5_Windscreen.Smashed</t>
  </si>
  <si>
    <t>+ R_ND_Claim_NCB_Prejudiced_1_No</t>
  </si>
  <si>
    <t>+ R_ND_Claim_NCB_Prejudiced_1_Yes</t>
  </si>
  <si>
    <t>+ R_ND_Claim_Type_1_Attempted.Theft</t>
  </si>
  <si>
    <t>+ R_ND_Claim_Type_1_Driver.Hit.Animal</t>
  </si>
  <si>
    <t>+ R_ND_Claim_Type_1_Driver.Hit.Immobile.Object</t>
  </si>
  <si>
    <t>+ R_ND_Claim_Type_1_Driver.Hit.Third.Party</t>
  </si>
  <si>
    <t>+ R_ND_Claim_Type_1_Driver.Reversed.into.Car</t>
  </si>
  <si>
    <t>+ R_ND_Claim_Type_1_Driver.Skidded</t>
  </si>
  <si>
    <t>+ R_ND_Claim_Type_1_Effect.of.Weather..Storm.</t>
  </si>
  <si>
    <t>+ R_ND_Claim_Type_1_Fire.Partial.Damage</t>
  </si>
  <si>
    <t>+ R_ND_Claim_Type_1_Flood.Damage</t>
  </si>
  <si>
    <t>+ R_ND_Claim_Type_1_Multi.Vehicle.Collision</t>
  </si>
  <si>
    <t>+ R_ND_Claim_Type_1_Object.Hit.Vehicle</t>
  </si>
  <si>
    <t>+ R_ND_Claim_Type_1_Theft</t>
  </si>
  <si>
    <t>+ R_ND_Claim_Type_1_Theft.PersoN.Al.Effects</t>
  </si>
  <si>
    <t>+ R_ND_Claim_Type_1_Theft.Vehicle.not.Recovered</t>
  </si>
  <si>
    <t>+ R_ND_Claim_Type_1_Theft.Vehicle.Recovered</t>
  </si>
  <si>
    <t>+ R_ND_Claim_Type_1_Third.Party.Cut.into.Drivers.Lane</t>
  </si>
  <si>
    <t>+ R_ND_Claim_Type_1_Third.Party.Hit.Driver</t>
  </si>
  <si>
    <t>+ R_ND_Claim_Type_1_Third.Party.Hit.Driver.in.Rear</t>
  </si>
  <si>
    <t>+ R_ND_Claim_Type_1_Unknown.Third.Party.Hit.Stopped.Insured</t>
  </si>
  <si>
    <t>+ R_ND_Claim_Type_1_Vandalism.Repairable</t>
  </si>
  <si>
    <t>+ R_ND_Claim_Type_1_Vandalism.Total.Loss</t>
  </si>
  <si>
    <t>+ R_ND_Claim_Type_1_Windscreen.Crack</t>
  </si>
  <si>
    <t>+ R_ND_Claim_Type_1_Windscreen.Smashed</t>
  </si>
  <si>
    <t>+ R_ND_Claim_NCB_Prejudiced_2_No</t>
  </si>
  <si>
    <t>+ R_ND_Claim_NCB_Prejudiced_2_Yes</t>
  </si>
  <si>
    <t>+ R_ND_Claim_Type_2_Driver.Hit.Immobile.Object</t>
  </si>
  <si>
    <t>+ R_ND_Claim_Type_2_Driver.Hit.Third.Party</t>
  </si>
  <si>
    <t>+ R_ND_Claim_Type_2_Fire.Total.Loss</t>
  </si>
  <si>
    <t>+ R_ND_Claim_Type_2_Multi.Vehicle.Collision</t>
  </si>
  <si>
    <t>+ R_ND_Claim_Type_2_Object.Hit.Vehicle</t>
  </si>
  <si>
    <t>+ R_ND_Claim_Type_2_Theft.Vehicle.not.Recovered</t>
  </si>
  <si>
    <t>+ R_ND_Claim_Type_2_Third.Party.Hit.Driver</t>
  </si>
  <si>
    <t>+ R_ND_Claim_Type_2_Third.Party.Hit.Driver.in.Rear</t>
  </si>
  <si>
    <t>+ R_ND_Claim_Type_2_Vandalism.Repairable</t>
  </si>
  <si>
    <t>+ R_ND_Claim_Type_2_Vandalism.Total.Loss</t>
  </si>
  <si>
    <t>+ R_ND_Claim_Type_2_Windscreen.Smashed</t>
  </si>
  <si>
    <t>+ R_ND_Claim_NCB_Prejudiced_3_No</t>
  </si>
  <si>
    <t>+ R_ND_Claim_NCB_Prejudiced_3_Yes</t>
  </si>
  <si>
    <t>+ R_ND_Claim_Type_3_Driver.Hit.Immobile.Object</t>
  </si>
  <si>
    <t>+ R_ND_Claim_Type_3_Driver.Hit.Third.Party</t>
  </si>
  <si>
    <t>+ R_ND_Claim_Type_3_Multi.Vehicle.Collision</t>
  </si>
  <si>
    <t>+ R_ND_Claim_Type_3_Theft.Vehicle.not.Recovered</t>
  </si>
  <si>
    <t>+ R_ND_Claim_Type_3_Third.Party.Hit.Driver</t>
  </si>
  <si>
    <t>+ R_ND_Claim_Type_3_Third.Party.Hit.Driver.in.Rear</t>
  </si>
  <si>
    <t>+ R_ND_Claim_Type_3_Windscreen.Smashed</t>
  </si>
  <si>
    <t>+ R_ND_Claim_NCB_Prejudiced_4_No</t>
  </si>
  <si>
    <t>+ R_ND_Claim_NCB_Prejudiced_4_Yes</t>
  </si>
  <si>
    <t>+ R_ND_Claim_Type_4_Driver.Hit.Immobile.Object</t>
  </si>
  <si>
    <t>+ R_ND_Claim_Type_4_Multi.Vehicle.Collision</t>
  </si>
  <si>
    <t>+ R_ND_Claim_Type_4_Third.Party.Hit.Driver.in.Rear</t>
  </si>
  <si>
    <t>+ R_ND_Claim_NCB_Prejudiced_5_No</t>
  </si>
  <si>
    <t>+ R_ND_Claim_Type_5_Third.Party.Hit.Driver.in.Rear</t>
  </si>
  <si>
    <t>+ Proposer_Conv_Code_1_AC10</t>
  </si>
  <si>
    <t>+ Proposer_Conv_Code_1_AC20</t>
  </si>
  <si>
    <t>+ Proposer_Conv_Code_1_CD10</t>
  </si>
  <si>
    <t>+ Proposer_Conv_Code_1_CD20</t>
  </si>
  <si>
    <t>+ Proposer_Conv_Code_1_CD30</t>
  </si>
  <si>
    <t>+ Proposer_Conv_Code_1_CU10</t>
  </si>
  <si>
    <t>+ Proposer_Conv_Code_1_CU20</t>
  </si>
  <si>
    <t>+ Proposer_Conv_Code_1_CU30</t>
  </si>
  <si>
    <t>+ Proposer_Conv_Code_1_CU50</t>
  </si>
  <si>
    <t>+ Proposer_Conv_Code_1_DR10</t>
  </si>
  <si>
    <t>+ Proposer_Conv_Code_1_DR20</t>
  </si>
  <si>
    <t>+ Proposer_Conv_Code_1_DR40</t>
  </si>
  <si>
    <t>+ Proposer_Conv_Code_1_DR50</t>
  </si>
  <si>
    <t>+ Proposer_Conv_Code_1_IN10</t>
  </si>
  <si>
    <t>+ Proposer_Conv_Code_1_LC20</t>
  </si>
  <si>
    <t>+ Proposer_Conv_Code_1_MS60</t>
  </si>
  <si>
    <t>+ Proposer_Conv_Code_1_MW10</t>
  </si>
  <si>
    <t>+ Proposer_Conv_Code_1_PC20</t>
  </si>
  <si>
    <t>+ Proposer_Conv_Code_1_PC30</t>
  </si>
  <si>
    <t>+ Proposer_Conv_Code_1_SP10</t>
  </si>
  <si>
    <t>+ Proposer_Conv_Code_1_SP20</t>
  </si>
  <si>
    <t>+ Proposer_Conv_Code_1_SP30</t>
  </si>
  <si>
    <t>+ Proposer_Conv_Code_1_SP36</t>
  </si>
  <si>
    <t>+ Proposer_Conv_Code_1_SP40</t>
  </si>
  <si>
    <t>+ Proposer_Conv_Code_1_SP50</t>
  </si>
  <si>
    <t>+ Proposer_Conv_Code_1_SP60</t>
  </si>
  <si>
    <t>+ Proposer_Conv_Code_1_TS10</t>
  </si>
  <si>
    <t>+ Proposer_Conv_Code_1_TS20</t>
  </si>
  <si>
    <t>+ Proposer_Conv_Code_1_TS30</t>
  </si>
  <si>
    <t>+ Proposer_Conv_Code_1_TS40</t>
  </si>
  <si>
    <t>+ Proposer_Conv_Code_1_TS50</t>
  </si>
  <si>
    <t>+ Proposer_Conv_Code_1_TS70</t>
  </si>
  <si>
    <t>+ Proposer_Conv_Code_1_TT99</t>
  </si>
  <si>
    <t>+ Proposer_Conv_MthBan_1</t>
  </si>
  <si>
    <t>+ Proposer_Conv_Code_2_CD10</t>
  </si>
  <si>
    <t>+ Proposer_Conv_Code_2_CD20</t>
  </si>
  <si>
    <t>+ Proposer_Conv_Code_2_CD30</t>
  </si>
  <si>
    <t>+ Proposer_Conv_Code_2_CU30</t>
  </si>
  <si>
    <t>+ Proposer_Conv_Code_2_CU50</t>
  </si>
  <si>
    <t>+ Proposer_Conv_Code_2_DR10</t>
  </si>
  <si>
    <t>+ Proposer_Conv_Code_2_DR40</t>
  </si>
  <si>
    <t>+ Proposer_Conv_Code_2_LC20</t>
  </si>
  <si>
    <t>+ Proposer_Conv_Code_2_MW10</t>
  </si>
  <si>
    <t>+ Proposer_Conv_Code_2_SP10</t>
  </si>
  <si>
    <t>+ Proposer_Conv_Code_2_SP20</t>
  </si>
  <si>
    <t>+ Proposer_Conv_Code_2_SP30</t>
  </si>
  <si>
    <t>+ Proposer_Conv_Code_2_SP40</t>
  </si>
  <si>
    <t>+ Proposer_Conv_Code_2_SP50</t>
  </si>
  <si>
    <t>+ Proposer_Conv_Code_2_SP60</t>
  </si>
  <si>
    <t>+ Proposer_Conv_Code_2_TS10</t>
  </si>
  <si>
    <t>+ Proposer_Conv_Code_2_TS50</t>
  </si>
  <si>
    <t>+ Proposer_Conv_MthBan_2</t>
  </si>
  <si>
    <t>+ Proposer_Conv_Code_3_CD10</t>
  </si>
  <si>
    <t>+ Proposer_Conv_Code_3_DR10</t>
  </si>
  <si>
    <t>+ Proposer_Conv_Code_3_SP10</t>
  </si>
  <si>
    <t>+ Proposer_Conv_Code_3_SP30</t>
  </si>
  <si>
    <t>+ Proposer_Conv_Code_3_SP50</t>
  </si>
  <si>
    <t>+ Proposer_Conv_MthBan_3</t>
  </si>
  <si>
    <t>+ Proposer_Conv_Code_4_SP50</t>
  </si>
  <si>
    <t>+ Proposer_Conv_MthBan_4</t>
  </si>
  <si>
    <t>+ Proposer_Conv_MthBan_5</t>
  </si>
  <si>
    <t>+ R_ND_Conv_Code_1_CD10</t>
  </si>
  <si>
    <t>+ R_ND_Conv_Code_1_CD20</t>
  </si>
  <si>
    <t>+ R_ND_Conv_Code_1_CD30</t>
  </si>
  <si>
    <t>+ R_ND_Conv_Code_1_CU10</t>
  </si>
  <si>
    <t>+ R_ND_Conv_Code_1_CU20</t>
  </si>
  <si>
    <t>+ R_ND_Conv_Code_1_CU30</t>
  </si>
  <si>
    <t>+ R_ND_Conv_Code_1_CU50</t>
  </si>
  <si>
    <t>+ R_ND_Conv_Code_1_DR10</t>
  </si>
  <si>
    <t>+ R_ND_Conv_Code_1_DR20</t>
  </si>
  <si>
    <t>+ R_ND_Conv_Code_1_DR40</t>
  </si>
  <si>
    <t>+ R_ND_Conv_Code_1_LC20</t>
  </si>
  <si>
    <t>+ R_ND_Conv_Code_1_MS60</t>
  </si>
  <si>
    <t>+ R_ND_Conv_Code_1_PC30</t>
  </si>
  <si>
    <t>+ R_ND_Conv_Code_1_SP10</t>
  </si>
  <si>
    <t>+ R_ND_Conv_Code_1_SP20</t>
  </si>
  <si>
    <t>+ R_ND_Conv_Code_1_SP30</t>
  </si>
  <si>
    <t>+ R_ND_Conv_Code_1_SP40</t>
  </si>
  <si>
    <t>+ R_ND_Conv_Code_1_SP50</t>
  </si>
  <si>
    <t>+ R_ND_Conv_Code_1_SP60</t>
  </si>
  <si>
    <t>+ R_ND_Conv_Code_1_TS10</t>
  </si>
  <si>
    <t>+ R_ND_Conv_Code_1_TS20</t>
  </si>
  <si>
    <t>+ R_ND_Conv_Code_1_TS50</t>
  </si>
  <si>
    <t>+ R_ND_Conv_MthBan_1</t>
  </si>
  <si>
    <t>+ R_ND_Conv_Code_2_CU30</t>
  </si>
  <si>
    <t>+ R_ND_Conv_Code_2_SP10</t>
  </si>
  <si>
    <t>+ R_ND_Conv_Code_2_SP20</t>
  </si>
  <si>
    <t>+ R_ND_Conv_Code_2_SP30</t>
  </si>
  <si>
    <t>+ R_ND_Conv_Code_2_SP50</t>
  </si>
  <si>
    <t>+ R_ND_Conv_Code_2_TS10</t>
  </si>
  <si>
    <t>+ R_ND_Conv_MthBan_2</t>
  </si>
  <si>
    <t>+ R_ND_Conv_Code_3_SP30</t>
  </si>
  <si>
    <t>+ R_ND_Conv_MthBan_3</t>
  </si>
  <si>
    <t>+ R_ND_Conv_MthBan_4</t>
  </si>
  <si>
    <t>+ R_ND_Conv_MthBan_5</t>
  </si>
  <si>
    <t>+ Prop_Licence_Years</t>
  </si>
  <si>
    <t>+ NCB_Years</t>
  </si>
  <si>
    <t>+ Claims_Within_3_Years</t>
  </si>
  <si>
    <t>+ Unexpired_Convictions</t>
  </si>
  <si>
    <t>+ Body_Type_4.x.4</t>
  </si>
  <si>
    <t>+ Body_Type_4.X.4</t>
  </si>
  <si>
    <t>+ Body_Type_Chassis</t>
  </si>
  <si>
    <t>+ Body_Type_Crew.Cab</t>
  </si>
  <si>
    <t>+ Body_Type_Double.Cab</t>
  </si>
  <si>
    <t>+ Body_Type_Lifestyle</t>
  </si>
  <si>
    <t>+ Body_Type_Minibus</t>
  </si>
  <si>
    <t>+ Body_Type_Tipper</t>
  </si>
  <si>
    <t>+ Body_Type_Unknown</t>
  </si>
  <si>
    <t>+ Body_Type_Van</t>
  </si>
  <si>
    <t>+ Vehicle_Variant_Select_Car.Derived</t>
  </si>
  <si>
    <t>+ Vehicle_Variant_Select_Combi.Cab</t>
  </si>
  <si>
    <t>+ Vehicle_Variant_Select_Crew.Cab</t>
  </si>
  <si>
    <t>+ Vehicle_Variant_Select_Double.Cab</t>
  </si>
  <si>
    <t>+ Vehicle_Variant_Select_MPV.Minibus</t>
  </si>
  <si>
    <t>+ Vehicle_Variant_Select_Unknown</t>
  </si>
  <si>
    <t>+ Vehicle_Variant_Select_Van.Single.Cab</t>
  </si>
  <si>
    <t xml:space="preserve">n= 19394 </t>
  </si>
  <si>
    <t xml:space="preserve"> 1) root 19394 438726.90000 0.49700320  </t>
  </si>
  <si>
    <t xml:space="preserve">   2) Value&lt; 4047.5 7016  69783.57000 0.30184150  </t>
  </si>
  <si>
    <t xml:space="preserve">     4) Prop_Licence_Years&gt;=7.5 6836  47154.51000 0.28148230  </t>
  </si>
  <si>
    <t xml:space="preserve">       8) MirrorBonus_year_Private.Car&gt;=0.5 2467   7373.47900 0.16316600 *</t>
  </si>
  <si>
    <t xml:space="preserve">       9) MirrorBonus_year_Private.Car&lt; 0.5 4369  39726.99000 0.34829080  </t>
  </si>
  <si>
    <t xml:space="preserve">        18) PaymentFrequency_Monthly&gt;=0.5 2415  10757.99000 0.26015500 *</t>
  </si>
  <si>
    <t xml:space="preserve">        19) PaymentFrequency_Monthly&lt; 0.5 1954  28927.06000 0.45722010  </t>
  </si>
  <si>
    <t xml:space="preserve">          38) NumberSeats&lt; 5.5 1879  23817.80000 0.41136170 *</t>
  </si>
  <si>
    <t xml:space="preserve">          39) NumberSeats&gt;=5.5 75   5006.30900 1.60612600 *</t>
  </si>
  <si>
    <t xml:space="preserve">     5) Prop_Licence_Years&lt; 7.5 180  22518.61000 1.07503800  </t>
  </si>
  <si>
    <t xml:space="preserve">      10) VolXS&lt; 475 102    145.34060 0.17853690 *</t>
  </si>
  <si>
    <t xml:space="preserve">      11) VolXS&gt;=475 78  22184.09000 2.24738600 *</t>
  </si>
  <si>
    <t xml:space="preserve">   3) Value&gt;=4047.5 12378 368524.70000 0.60762320  </t>
  </si>
  <si>
    <t xml:space="preserve">     6) Mileage&lt; 10127.5 9478 212864.10000 0.52810460  </t>
  </si>
  <si>
    <t xml:space="preserve">      12) R_ND_Conv_Code_1_SP30&lt; 0.5 9251 200909.90000 0.50324040  </t>
  </si>
  <si>
    <t xml:space="preserve">        24) Prop_Licence_Years&gt;=11.5 8670 151743.20000 0.46791340  </t>
  </si>
  <si>
    <t xml:space="preserve">          48) YearOfMake&gt;=2006.5 8439 138952.20000 0.44972430 *</t>
  </si>
  <si>
    <t xml:space="preserve">          49) YearOfMake&lt; 2006.5 231  12686.20000 1.13240800 *</t>
  </si>
  <si>
    <t xml:space="preserve">        25) Prop_Licence_Years&lt; 11.5 581  48994.43000 1.03040800  </t>
  </si>
  <si>
    <t xml:space="preserve">          50) AffinityCode_ACCF&lt; 0.5 497   9078.63800 0.57515610 *</t>
  </si>
  <si>
    <t xml:space="preserve">          51) AffinityCode_ACCF&gt;=0.5 84  39203.33000 3.72398400 *</t>
  </si>
  <si>
    <t xml:space="preserve">      13) R_ND_Conv_Code_1_SP30&gt;=0.5 227  11715.40000 1.54140600  </t>
  </si>
  <si>
    <t xml:space="preserve">        26) Occupation_Status_Employed&lt; 0.5 98     72.90824 0.10342750 *</t>
  </si>
  <si>
    <t xml:space="preserve">        27) Occupation_Status_Employed&gt;=0.5 129  11285.91000 2.63382400 *</t>
  </si>
  <si>
    <t xml:space="preserve">     7) Mileage&gt;=10127.5 2900 155404.70000 0.86751190  </t>
  </si>
  <si>
    <t xml:space="preserve">      14) Unexpired_Convictions&lt; 0.5 2345  72097.83000 0.68356200  </t>
  </si>
  <si>
    <t xml:space="preserve">        28) PurchaseYear&gt;=2015.5 2177  43070.76000 0.59472790  </t>
  </si>
  <si>
    <t xml:space="preserve">          56) Prop_Licence_Years&gt;=11.5 2092  35483.35000 0.53880610 *</t>
  </si>
  <si>
    <t xml:space="preserve">          57) Prop_Licence_Years&lt; 11.5 85   7419.85000 1.97106100 *</t>
  </si>
  <si>
    <t xml:space="preserve">        29) PurchaseYear&lt; 2015.5 168  28787.27000 1.83470400  </t>
  </si>
  <si>
    <t xml:space="preserve">          58) Public_liability_in_force_Y&gt;=0.5 76     18.43329 0.08695352 *</t>
  </si>
  <si>
    <t xml:space="preserve">          59) Public_liability_in_force_Y&lt; 0.5 92  28344.91000 3.27849800 *</t>
  </si>
  <si>
    <t xml:space="preserve">      15) Unexpired_Convictions&gt;=0.5 555  82892.29000 1.64474200  </t>
  </si>
  <si>
    <t xml:space="preserve">        30) GVW&lt; 3.28 455  16584.74000 0.76821450  </t>
  </si>
  <si>
    <t xml:space="preserve">          60) PurchaseYear&lt; 2021.5 305   1450.35000 0.33993600 *</t>
  </si>
  <si>
    <t xml:space="preserve">          61) PurchaseYear&gt;=2021.5 150  14964.69000 1.63904700 *</t>
  </si>
  <si>
    <t xml:space="preserve">        31) GVW&gt;=3.28 100  64367.40000 5.63294200 *</t>
  </si>
  <si>
    <t xml:space="preserve">&lt;  4047.5 </t>
  </si>
  <si>
    <t xml:space="preserve">&gt;= 7.5 </t>
  </si>
  <si>
    <t xml:space="preserve">&lt;  5.5 </t>
  </si>
  <si>
    <t xml:space="preserve">&gt;= 5.5 75 </t>
  </si>
  <si>
    <t xml:space="preserve">&lt;  7.5 </t>
  </si>
  <si>
    <t xml:space="preserve">&lt;  475 102  </t>
  </si>
  <si>
    <t xml:space="preserve">&gt;= 475 </t>
  </si>
  <si>
    <t xml:space="preserve">&gt;= 4047.5 </t>
  </si>
  <si>
    <t xml:space="preserve">&lt;  10127.5 </t>
  </si>
  <si>
    <t xml:space="preserve">&gt;= 11.5 </t>
  </si>
  <si>
    <t xml:space="preserve">&gt;= 2006.5 </t>
  </si>
  <si>
    <t xml:space="preserve">&lt;  2006.5 </t>
  </si>
  <si>
    <t xml:space="preserve">&lt;  11.5 </t>
  </si>
  <si>
    <t xml:space="preserve">&gt;= 10127.5 </t>
  </si>
  <si>
    <t xml:space="preserve">&gt;= 2015.5 </t>
  </si>
  <si>
    <t xml:space="preserve">&lt;  11.5 85 </t>
  </si>
  <si>
    <t xml:space="preserve">&lt;  2015.5 </t>
  </si>
  <si>
    <t xml:space="preserve">&lt;  3.28 </t>
  </si>
  <si>
    <t xml:space="preserve">&lt;  2021.5 305 </t>
  </si>
  <si>
    <t xml:space="preserve">&gt;= 2021.5 </t>
  </si>
  <si>
    <t xml:space="preserve">&gt;= 3.28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</si>
</sst>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Calibri"/>
      <family val="2"/>
      <scheme val="minor"/>
    </font>
    <font>
      <sz val="10"/>
      <color rgb="FF000000"/>
      <name val="Lucida Console"/>
      <family val="3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rgb="FF0000FF"/>
      <name val="Lucida Console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D6DADC"/>
      </right>
      <top/>
      <bottom style="medium">
        <color rgb="FFD6DADC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0" fillId="2" borderId="0" xfId="0" applyFill="1"/>
    <xf numFmtId="0" fontId="4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5" fillId="2" borderId="0" xfId="0" applyFont="1" applyFill="1"/>
    <xf numFmtId="0" fontId="0" fillId="2" borderId="0" xfId="0" quotePrefix="1" applyFill="1"/>
    <xf numFmtId="0" fontId="9" fillId="2" borderId="0" xfId="2" applyFill="1"/>
    <xf numFmtId="0" fontId="7" fillId="0" borderId="0" xfId="0" quotePrefix="1" applyFont="1"/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11" fillId="6" borderId="1" xfId="0" applyFont="1" applyFill="1" applyBorder="1" applyAlignment="1">
      <alignment vertical="center"/>
    </xf>
    <xf numFmtId="0" fontId="12" fillId="0" borderId="1" xfId="0" applyFont="1" applyBorder="1" applyAlignment="1">
      <alignment horizontal="left" vertical="center" wrapText="1"/>
    </xf>
    <xf numFmtId="0" fontId="2" fillId="0" borderId="0" xfId="0" applyFont="1"/>
    <xf numFmtId="2" fontId="5" fillId="0" borderId="0" xfId="1" applyNumberFormat="1" applyFont="1"/>
    <xf numFmtId="2" fontId="5" fillId="0" borderId="0" xfId="0" applyNumberFormat="1" applyFont="1" applyAlignment="1">
      <alignment horizontal="right"/>
    </xf>
    <xf numFmtId="0" fontId="13" fillId="6" borderId="0" xfId="0" applyFont="1" applyFill="1" applyAlignment="1">
      <alignment horizontal="left" vertical="center"/>
    </xf>
    <xf numFmtId="0" fontId="5" fillId="4" borderId="0" xfId="0" applyFont="1" applyFill="1"/>
    <xf numFmtId="0" fontId="2" fillId="4" borderId="0" xfId="0" applyFont="1" applyFill="1"/>
    <xf numFmtId="2" fontId="5" fillId="4" borderId="0" xfId="1" applyNumberFormat="1" applyFont="1" applyFill="1"/>
    <xf numFmtId="0" fontId="4" fillId="0" borderId="0" xfId="0" applyFont="1" applyAlignment="1">
      <alignment wrapText="1"/>
    </xf>
    <xf numFmtId="0" fontId="14" fillId="0" borderId="0" xfId="0" applyFont="1" applyAlignment="1">
      <alignment wrapText="1"/>
    </xf>
    <xf numFmtId="2" fontId="4" fillId="0" borderId="0" xfId="1" applyNumberFormat="1" applyFont="1" applyAlignment="1">
      <alignment wrapText="1"/>
    </xf>
    <xf numFmtId="0" fontId="0" fillId="6" borderId="0" xfId="0" applyFill="1" applyAlignment="1">
      <alignment horizontal="left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2" xfId="0" applyFont="1" applyBorder="1" applyAlignment="1">
      <alignment horizontal="center" wrapText="1"/>
    </xf>
    <xf numFmtId="0" fontId="15" fillId="0" borderId="0" xfId="0" applyFont="1" applyAlignment="1">
      <alignment horizontal="center"/>
    </xf>
    <xf numFmtId="0" fontId="16" fillId="6" borderId="2" xfId="0" applyFont="1" applyFill="1" applyBorder="1" applyAlignment="1">
      <alignment horizontal="left" vertical="center"/>
    </xf>
    <xf numFmtId="0" fontId="5" fillId="0" borderId="0" xfId="0" applyFont="1" applyAlignment="1">
      <alignment horizontal="right"/>
    </xf>
    <xf numFmtId="2" fontId="5" fillId="0" borderId="0" xfId="1" applyNumberFormat="1" applyFont="1" applyBorder="1"/>
    <xf numFmtId="0" fontId="10" fillId="0" borderId="0" xfId="0" applyFont="1"/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</cellXfs>
  <cellStyles count="3">
    <cellStyle name="Comma" xfId="1" builtinId="3"/>
    <cellStyle name="Hyperlink" xfId="2" builtinId="8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2</xdr:row>
      <xdr:rowOff>9525</xdr:rowOff>
    </xdr:from>
    <xdr:to>
      <xdr:col>14</xdr:col>
      <xdr:colOff>0</xdr:colOff>
      <xdr:row>4</xdr:row>
      <xdr:rowOff>0</xdr:rowOff>
    </xdr:to>
    <xdr:sp macro="[0]!ColumnsToDrop.ColumnsToDro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382000" y="390525"/>
          <a:ext cx="1238250" cy="3714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Columns</a:t>
          </a:r>
          <a:r>
            <a:rPr lang="en-GB" sz="1200" b="1" baseline="0"/>
            <a:t> to Drop</a:t>
          </a:r>
          <a:endParaRPr lang="en-GB" sz="1200" b="1"/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17</xdr:col>
      <xdr:colOff>19050</xdr:colOff>
      <xdr:row>3</xdr:row>
      <xdr:rowOff>180975</xdr:rowOff>
    </xdr:to>
    <xdr:sp macro="[0]!ColumnsToHotkey.ColumnsToHotkey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0229850" y="381000"/>
          <a:ext cx="1238250" cy="3714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Columns</a:t>
          </a:r>
          <a:r>
            <a:rPr lang="en-GB" sz="1200" b="1" baseline="0"/>
            <a:t> to Hotkey</a:t>
          </a:r>
          <a:endParaRPr lang="en-GB" sz="1200" b="1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20</xdr:col>
      <xdr:colOff>19050</xdr:colOff>
      <xdr:row>3</xdr:row>
      <xdr:rowOff>180975</xdr:rowOff>
    </xdr:to>
    <xdr:sp macro="[0]!FormatColumns.FormatColumn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1220450" y="381000"/>
          <a:ext cx="1447800" cy="3714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Format Columns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4</xdr:row>
      <xdr:rowOff>0</xdr:rowOff>
    </xdr:to>
    <xdr:sp macro="[0]!FactorsToInclud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343650" y="381000"/>
          <a:ext cx="1428750" cy="3810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Factors to Include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6</xdr:col>
      <xdr:colOff>0</xdr:colOff>
      <xdr:row>4</xdr:row>
      <xdr:rowOff>0</xdr:rowOff>
    </xdr:to>
    <xdr:sp macro="[0]!ChooseTree.ChooseTre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38400" y="381000"/>
          <a:ext cx="1219200" cy="381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../Impact%20Evaluation" TargetMode="External"/><Relationship Id="rId1" Type="http://schemas.openxmlformats.org/officeDocument/2006/relationships/hyperlink" Target="DIRECT_CV_DATA.cs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33"/>
  <sheetViews>
    <sheetView workbookViewId="0"/>
  </sheetViews>
  <sheetFormatPr defaultColWidth="9.109375" defaultRowHeight="14.4" x14ac:dyDescent="0.3"/>
  <cols>
    <col min="1" max="1" width="5" customWidth="1"/>
    <col min="2" max="2" width="19.109375" bestFit="1" customWidth="1"/>
    <col min="3" max="3" width="6" customWidth="1"/>
    <col min="4" max="4" width="160" bestFit="1" customWidth="1"/>
  </cols>
  <sheetData>
    <row r="2" spans="2:4" ht="15.6" x14ac:dyDescent="0.3">
      <c r="B2" s="38" t="s">
        <v>116</v>
      </c>
    </row>
    <row r="3" spans="2:4" x14ac:dyDescent="0.3">
      <c r="B3" s="11" t="s">
        <v>117</v>
      </c>
      <c r="C3" t="s">
        <v>118</v>
      </c>
    </row>
    <row r="4" spans="2:4" x14ac:dyDescent="0.3">
      <c r="B4" s="12" t="s">
        <v>117</v>
      </c>
      <c r="C4" t="s">
        <v>119</v>
      </c>
    </row>
    <row r="5" spans="2:4" x14ac:dyDescent="0.3">
      <c r="B5" s="13" t="s">
        <v>120</v>
      </c>
      <c r="C5" t="s">
        <v>121</v>
      </c>
    </row>
    <row r="6" spans="2:4" x14ac:dyDescent="0.3">
      <c r="B6" s="14" t="s">
        <v>122</v>
      </c>
      <c r="C6" t="s">
        <v>123</v>
      </c>
    </row>
    <row r="8" spans="2:4" ht="15.6" x14ac:dyDescent="0.3">
      <c r="B8" s="38" t="s">
        <v>113</v>
      </c>
    </row>
    <row r="9" spans="2:4" x14ac:dyDescent="0.3">
      <c r="B9" s="1" t="s">
        <v>138</v>
      </c>
      <c r="C9" s="1" t="s">
        <v>125</v>
      </c>
    </row>
    <row r="10" spans="2:4" x14ac:dyDescent="0.3">
      <c r="B10" s="1" t="s">
        <v>139</v>
      </c>
      <c r="C10" s="1" t="s">
        <v>126</v>
      </c>
    </row>
    <row r="11" spans="2:4" x14ac:dyDescent="0.3">
      <c r="B11" s="1"/>
      <c r="C11" s="15" t="s">
        <v>114</v>
      </c>
      <c r="D11" t="s">
        <v>115</v>
      </c>
    </row>
    <row r="12" spans="2:4" x14ac:dyDescent="0.3">
      <c r="B12" s="1"/>
      <c r="C12" s="15">
        <v>1</v>
      </c>
      <c r="D12" t="s">
        <v>124</v>
      </c>
    </row>
    <row r="13" spans="2:4" x14ac:dyDescent="0.3">
      <c r="B13" s="1"/>
      <c r="C13" s="15" t="s">
        <v>127</v>
      </c>
      <c r="D13" t="s">
        <v>128</v>
      </c>
    </row>
    <row r="14" spans="2:4" x14ac:dyDescent="0.3">
      <c r="B14" s="1" t="s">
        <v>140</v>
      </c>
      <c r="C14" s="16" t="s">
        <v>129</v>
      </c>
    </row>
    <row r="15" spans="2:4" x14ac:dyDescent="0.3">
      <c r="B15" s="1"/>
      <c r="C15" s="15">
        <v>2</v>
      </c>
      <c r="D15" t="s">
        <v>131</v>
      </c>
    </row>
    <row r="16" spans="2:4" x14ac:dyDescent="0.3">
      <c r="B16" s="1"/>
      <c r="C16" s="15" t="s">
        <v>130</v>
      </c>
      <c r="D16" t="s">
        <v>145</v>
      </c>
    </row>
    <row r="17" spans="2:4" x14ac:dyDescent="0.3">
      <c r="B17" s="1" t="s">
        <v>141</v>
      </c>
      <c r="C17" s="16" t="s">
        <v>132</v>
      </c>
    </row>
    <row r="18" spans="2:4" x14ac:dyDescent="0.3">
      <c r="B18" s="1"/>
      <c r="C18" s="15" t="s">
        <v>136</v>
      </c>
      <c r="D18" t="s">
        <v>146</v>
      </c>
    </row>
    <row r="19" spans="2:4" x14ac:dyDescent="0.3">
      <c r="B19" s="1"/>
      <c r="C19" s="15" t="s">
        <v>133</v>
      </c>
      <c r="D19" t="s">
        <v>146</v>
      </c>
    </row>
    <row r="20" spans="2:4" x14ac:dyDescent="0.3">
      <c r="B20" s="1"/>
      <c r="C20" s="15" t="s">
        <v>134</v>
      </c>
      <c r="D20" t="s">
        <v>146</v>
      </c>
    </row>
    <row r="21" spans="2:4" x14ac:dyDescent="0.3">
      <c r="B21" s="1"/>
      <c r="C21" s="15" t="s">
        <v>135</v>
      </c>
      <c r="D21" t="s">
        <v>147</v>
      </c>
    </row>
    <row r="22" spans="2:4" x14ac:dyDescent="0.3">
      <c r="B22" s="1" t="s">
        <v>142</v>
      </c>
      <c r="C22" s="16" t="s">
        <v>144</v>
      </c>
    </row>
    <row r="23" spans="2:4" x14ac:dyDescent="0.3">
      <c r="B23" s="1" t="s">
        <v>143</v>
      </c>
      <c r="C23" s="16" t="s">
        <v>137</v>
      </c>
    </row>
    <row r="24" spans="2:4" x14ac:dyDescent="0.3">
      <c r="B24" s="1"/>
      <c r="C24" s="15" t="s">
        <v>225</v>
      </c>
      <c r="D24" t="s">
        <v>226</v>
      </c>
    </row>
    <row r="25" spans="2:4" x14ac:dyDescent="0.3">
      <c r="B25" s="1"/>
      <c r="C25" s="15" t="s">
        <v>227</v>
      </c>
      <c r="D25" t="s">
        <v>228</v>
      </c>
    </row>
    <row r="26" spans="2:4" x14ac:dyDescent="0.3">
      <c r="B26" s="1"/>
      <c r="C26" s="15"/>
    </row>
    <row r="27" spans="2:4" x14ac:dyDescent="0.3">
      <c r="B27" s="1"/>
      <c r="C27" s="15"/>
    </row>
    <row r="28" spans="2:4" x14ac:dyDescent="0.3">
      <c r="C28" s="15"/>
    </row>
    <row r="29" spans="2:4" x14ac:dyDescent="0.3">
      <c r="C29" s="15"/>
    </row>
    <row r="30" spans="2:4" x14ac:dyDescent="0.3">
      <c r="C30" s="15"/>
    </row>
    <row r="31" spans="2:4" x14ac:dyDescent="0.3">
      <c r="C31" s="15"/>
    </row>
    <row r="32" spans="2:4" x14ac:dyDescent="0.3">
      <c r="C32" s="15"/>
    </row>
    <row r="33" spans="3:3" x14ac:dyDescent="0.3">
      <c r="C33" s="15"/>
    </row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9" tint="-0.249977111117893"/>
  </sheetPr>
  <dimension ref="A1:G292"/>
  <sheetViews>
    <sheetView workbookViewId="0">
      <pane ySplit="1" topLeftCell="A2" activePane="bottomLeft" state="frozen"/>
      <selection activeCell="D222" sqref="D222"/>
      <selection pane="bottomLeft"/>
    </sheetView>
  </sheetViews>
  <sheetFormatPr defaultRowHeight="14.4" x14ac:dyDescent="0.3"/>
  <cols>
    <col min="1" max="1" width="26.33203125" bestFit="1" customWidth="1"/>
    <col min="2" max="2" width="9.44140625" bestFit="1" customWidth="1"/>
    <col min="3" max="3" width="7" bestFit="1" customWidth="1"/>
    <col min="4" max="4" width="11.5546875" bestFit="1" customWidth="1"/>
    <col min="5" max="5" width="9.44140625" bestFit="1" customWidth="1"/>
    <col min="6" max="6" width="34.109375" bestFit="1" customWidth="1"/>
    <col min="7" max="7" width="85.5546875" style="4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/>
    </row>
    <row r="2" spans="1:7" x14ac:dyDescent="0.3">
      <c r="A2" t="s">
        <v>323</v>
      </c>
      <c r="B2" t="s">
        <v>6</v>
      </c>
      <c r="C2">
        <v>8</v>
      </c>
      <c r="D2">
        <v>20</v>
      </c>
      <c r="E2">
        <v>20</v>
      </c>
      <c r="F2" t="s">
        <v>324</v>
      </c>
    </row>
    <row r="3" spans="1:7" x14ac:dyDescent="0.3">
      <c r="A3" t="s">
        <v>325</v>
      </c>
      <c r="B3" t="s">
        <v>251</v>
      </c>
      <c r="C3">
        <v>100</v>
      </c>
      <c r="D3" t="s">
        <v>326</v>
      </c>
      <c r="E3" t="s">
        <v>326</v>
      </c>
      <c r="F3" t="s">
        <v>327</v>
      </c>
    </row>
    <row r="4" spans="1:7" x14ac:dyDescent="0.3">
      <c r="A4" t="s">
        <v>328</v>
      </c>
      <c r="B4" t="s">
        <v>253</v>
      </c>
      <c r="C4">
        <v>8</v>
      </c>
      <c r="D4" t="s">
        <v>254</v>
      </c>
    </row>
    <row r="5" spans="1:7" x14ac:dyDescent="0.3">
      <c r="A5" t="s">
        <v>329</v>
      </c>
      <c r="B5" t="s">
        <v>253</v>
      </c>
      <c r="C5">
        <v>8</v>
      </c>
      <c r="D5" t="s">
        <v>254</v>
      </c>
    </row>
    <row r="6" spans="1:7" x14ac:dyDescent="0.3">
      <c r="A6" t="s">
        <v>330</v>
      </c>
      <c r="B6" t="s">
        <v>253</v>
      </c>
      <c r="C6">
        <v>8</v>
      </c>
      <c r="D6" t="s">
        <v>254</v>
      </c>
    </row>
    <row r="7" spans="1:7" x14ac:dyDescent="0.3">
      <c r="A7" t="s">
        <v>331</v>
      </c>
      <c r="B7" t="s">
        <v>253</v>
      </c>
      <c r="C7">
        <v>8</v>
      </c>
      <c r="D7" t="s">
        <v>254</v>
      </c>
    </row>
    <row r="8" spans="1:7" x14ac:dyDescent="0.3">
      <c r="A8" t="s">
        <v>332</v>
      </c>
      <c r="B8" t="s">
        <v>251</v>
      </c>
      <c r="C8">
        <v>2</v>
      </c>
    </row>
    <row r="9" spans="1:7" x14ac:dyDescent="0.3">
      <c r="A9" t="s">
        <v>333</v>
      </c>
      <c r="B9" t="s">
        <v>6</v>
      </c>
      <c r="C9">
        <v>8</v>
      </c>
    </row>
    <row r="10" spans="1:7" x14ac:dyDescent="0.3">
      <c r="A10" t="s">
        <v>334</v>
      </c>
      <c r="B10" t="s">
        <v>6</v>
      </c>
      <c r="C10">
        <v>8</v>
      </c>
      <c r="D10">
        <v>30.6</v>
      </c>
      <c r="E10">
        <v>30.6</v>
      </c>
      <c r="F10" t="s">
        <v>335</v>
      </c>
    </row>
    <row r="11" spans="1:7" x14ac:dyDescent="0.3">
      <c r="A11" t="s">
        <v>336</v>
      </c>
      <c r="B11" t="s">
        <v>251</v>
      </c>
      <c r="C11">
        <v>26</v>
      </c>
    </row>
    <row r="12" spans="1:7" x14ac:dyDescent="0.3">
      <c r="A12" t="s">
        <v>337</v>
      </c>
      <c r="B12" t="s">
        <v>251</v>
      </c>
      <c r="C12">
        <v>7</v>
      </c>
    </row>
    <row r="13" spans="1:7" x14ac:dyDescent="0.3">
      <c r="A13" t="s">
        <v>338</v>
      </c>
      <c r="B13" t="s">
        <v>251</v>
      </c>
      <c r="C13">
        <v>8</v>
      </c>
      <c r="D13" t="s">
        <v>339</v>
      </c>
      <c r="E13" t="s">
        <v>339</v>
      </c>
      <c r="F13" t="s">
        <v>340</v>
      </c>
    </row>
    <row r="14" spans="1:7" x14ac:dyDescent="0.3">
      <c r="A14" t="s">
        <v>341</v>
      </c>
      <c r="B14" t="s">
        <v>251</v>
      </c>
      <c r="C14">
        <v>100</v>
      </c>
    </row>
    <row r="15" spans="1:7" x14ac:dyDescent="0.3">
      <c r="A15" t="s">
        <v>342</v>
      </c>
      <c r="B15" t="s">
        <v>6</v>
      </c>
      <c r="C15">
        <v>8</v>
      </c>
    </row>
    <row r="16" spans="1:7" x14ac:dyDescent="0.3">
      <c r="A16" t="s">
        <v>269</v>
      </c>
      <c r="B16" t="s">
        <v>251</v>
      </c>
      <c r="C16">
        <v>8</v>
      </c>
    </row>
    <row r="17" spans="1:6" x14ac:dyDescent="0.3">
      <c r="A17" t="s">
        <v>343</v>
      </c>
      <c r="B17" t="s">
        <v>251</v>
      </c>
      <c r="C17">
        <v>8</v>
      </c>
    </row>
    <row r="18" spans="1:6" x14ac:dyDescent="0.3">
      <c r="A18" t="s">
        <v>344</v>
      </c>
      <c r="B18" t="s">
        <v>251</v>
      </c>
      <c r="C18">
        <v>15</v>
      </c>
    </row>
    <row r="19" spans="1:6" x14ac:dyDescent="0.3">
      <c r="A19" t="s">
        <v>345</v>
      </c>
      <c r="B19" t="s">
        <v>6</v>
      </c>
      <c r="C19">
        <v>8</v>
      </c>
    </row>
    <row r="20" spans="1:6" x14ac:dyDescent="0.3">
      <c r="A20" t="s">
        <v>346</v>
      </c>
      <c r="B20" t="s">
        <v>251</v>
      </c>
      <c r="C20">
        <v>8</v>
      </c>
    </row>
    <row r="21" spans="1:6" x14ac:dyDescent="0.3">
      <c r="A21" t="s">
        <v>347</v>
      </c>
      <c r="B21" t="s">
        <v>251</v>
      </c>
      <c r="C21">
        <v>1</v>
      </c>
    </row>
    <row r="22" spans="1:6" x14ac:dyDescent="0.3">
      <c r="A22" t="s">
        <v>348</v>
      </c>
      <c r="B22" t="s">
        <v>6</v>
      </c>
      <c r="C22">
        <v>8</v>
      </c>
    </row>
    <row r="23" spans="1:6" x14ac:dyDescent="0.3">
      <c r="A23" t="s">
        <v>349</v>
      </c>
      <c r="B23" t="s">
        <v>253</v>
      </c>
      <c r="C23">
        <v>8</v>
      </c>
      <c r="D23" t="s">
        <v>254</v>
      </c>
    </row>
    <row r="24" spans="1:6" x14ac:dyDescent="0.3">
      <c r="A24" t="s">
        <v>350</v>
      </c>
      <c r="B24" t="s">
        <v>251</v>
      </c>
      <c r="C24">
        <v>1</v>
      </c>
    </row>
    <row r="25" spans="1:6" x14ac:dyDescent="0.3">
      <c r="A25" t="s">
        <v>351</v>
      </c>
      <c r="B25" t="s">
        <v>251</v>
      </c>
      <c r="C25">
        <v>30</v>
      </c>
    </row>
    <row r="26" spans="1:6" x14ac:dyDescent="0.3">
      <c r="A26" t="s">
        <v>352</v>
      </c>
      <c r="B26" t="s">
        <v>251</v>
      </c>
      <c r="C26">
        <v>30</v>
      </c>
    </row>
    <row r="27" spans="1:6" x14ac:dyDescent="0.3">
      <c r="A27" t="s">
        <v>353</v>
      </c>
      <c r="B27" t="s">
        <v>251</v>
      </c>
      <c r="C27">
        <v>14</v>
      </c>
    </row>
    <row r="28" spans="1:6" x14ac:dyDescent="0.3">
      <c r="A28" t="s">
        <v>354</v>
      </c>
      <c r="B28" t="s">
        <v>253</v>
      </c>
      <c r="C28">
        <v>8</v>
      </c>
      <c r="D28" t="s">
        <v>254</v>
      </c>
    </row>
    <row r="29" spans="1:6" x14ac:dyDescent="0.3">
      <c r="A29" t="s">
        <v>355</v>
      </c>
      <c r="B29" t="s">
        <v>6</v>
      </c>
      <c r="C29">
        <v>8</v>
      </c>
    </row>
    <row r="30" spans="1:6" x14ac:dyDescent="0.3">
      <c r="A30" t="s">
        <v>356</v>
      </c>
      <c r="B30" t="s">
        <v>251</v>
      </c>
      <c r="C30">
        <v>17</v>
      </c>
    </row>
    <row r="31" spans="1:6" x14ac:dyDescent="0.3">
      <c r="A31" t="s">
        <v>357</v>
      </c>
      <c r="B31" t="s">
        <v>251</v>
      </c>
      <c r="C31">
        <v>110</v>
      </c>
      <c r="D31" t="s">
        <v>358</v>
      </c>
      <c r="E31" t="s">
        <v>358</v>
      </c>
      <c r="F31" t="s">
        <v>359</v>
      </c>
    </row>
    <row r="32" spans="1:6" x14ac:dyDescent="0.3">
      <c r="A32" t="s">
        <v>360</v>
      </c>
      <c r="B32" t="s">
        <v>251</v>
      </c>
      <c r="C32">
        <v>4</v>
      </c>
    </row>
    <row r="33" spans="1:6" x14ac:dyDescent="0.3">
      <c r="A33" t="s">
        <v>361</v>
      </c>
      <c r="B33" t="s">
        <v>6</v>
      </c>
      <c r="C33">
        <v>8</v>
      </c>
    </row>
    <row r="34" spans="1:6" x14ac:dyDescent="0.3">
      <c r="A34" t="s">
        <v>362</v>
      </c>
      <c r="B34" t="s">
        <v>251</v>
      </c>
      <c r="C34">
        <v>100</v>
      </c>
      <c r="D34" t="s">
        <v>326</v>
      </c>
      <c r="E34" t="s">
        <v>326</v>
      </c>
      <c r="F34" t="s">
        <v>363</v>
      </c>
    </row>
    <row r="35" spans="1:6" x14ac:dyDescent="0.3">
      <c r="A35" t="s">
        <v>364</v>
      </c>
      <c r="B35" t="s">
        <v>6</v>
      </c>
      <c r="C35">
        <v>8</v>
      </c>
      <c r="F35" t="s">
        <v>365</v>
      </c>
    </row>
    <row r="36" spans="1:6" x14ac:dyDescent="0.3">
      <c r="A36" t="s">
        <v>366</v>
      </c>
      <c r="B36" t="s">
        <v>251</v>
      </c>
      <c r="C36">
        <v>100</v>
      </c>
      <c r="D36" t="s">
        <v>326</v>
      </c>
      <c r="E36" t="s">
        <v>326</v>
      </c>
      <c r="F36" t="s">
        <v>367</v>
      </c>
    </row>
    <row r="37" spans="1:6" x14ac:dyDescent="0.3">
      <c r="A37" t="s">
        <v>368</v>
      </c>
      <c r="B37" t="s">
        <v>6</v>
      </c>
      <c r="C37">
        <v>8</v>
      </c>
      <c r="F37" t="s">
        <v>369</v>
      </c>
    </row>
    <row r="38" spans="1:6" x14ac:dyDescent="0.3">
      <c r="A38" t="s">
        <v>370</v>
      </c>
      <c r="B38" t="s">
        <v>251</v>
      </c>
      <c r="C38">
        <v>5</v>
      </c>
    </row>
    <row r="39" spans="1:6" x14ac:dyDescent="0.3">
      <c r="A39" t="s">
        <v>371</v>
      </c>
      <c r="B39" t="s">
        <v>251</v>
      </c>
      <c r="C39">
        <v>1</v>
      </c>
    </row>
    <row r="40" spans="1:6" x14ac:dyDescent="0.3">
      <c r="A40" t="s">
        <v>372</v>
      </c>
      <c r="B40" t="s">
        <v>6</v>
      </c>
      <c r="C40">
        <v>8</v>
      </c>
    </row>
    <row r="41" spans="1:6" x14ac:dyDescent="0.3">
      <c r="A41" t="s">
        <v>373</v>
      </c>
      <c r="B41" t="s">
        <v>253</v>
      </c>
      <c r="C41">
        <v>8</v>
      </c>
      <c r="D41" t="s">
        <v>254</v>
      </c>
    </row>
    <row r="42" spans="1:6" x14ac:dyDescent="0.3">
      <c r="A42" t="s">
        <v>374</v>
      </c>
      <c r="B42" t="s">
        <v>251</v>
      </c>
      <c r="C42">
        <v>1</v>
      </c>
    </row>
    <row r="43" spans="1:6" x14ac:dyDescent="0.3">
      <c r="A43" t="s">
        <v>375</v>
      </c>
      <c r="B43" t="s">
        <v>251</v>
      </c>
      <c r="C43">
        <v>30</v>
      </c>
    </row>
    <row r="44" spans="1:6" x14ac:dyDescent="0.3">
      <c r="A44" t="s">
        <v>376</v>
      </c>
      <c r="B44" t="s">
        <v>251</v>
      </c>
      <c r="C44">
        <v>30</v>
      </c>
    </row>
    <row r="45" spans="1:6" x14ac:dyDescent="0.3">
      <c r="A45" t="s">
        <v>377</v>
      </c>
      <c r="B45" t="s">
        <v>251</v>
      </c>
      <c r="C45">
        <v>14</v>
      </c>
    </row>
    <row r="46" spans="1:6" x14ac:dyDescent="0.3">
      <c r="A46" t="s">
        <v>378</v>
      </c>
      <c r="B46" t="s">
        <v>253</v>
      </c>
      <c r="C46">
        <v>8</v>
      </c>
      <c r="D46" t="s">
        <v>254</v>
      </c>
    </row>
    <row r="47" spans="1:6" x14ac:dyDescent="0.3">
      <c r="A47" t="s">
        <v>379</v>
      </c>
      <c r="B47" t="s">
        <v>6</v>
      </c>
      <c r="C47">
        <v>8</v>
      </c>
    </row>
    <row r="48" spans="1:6" x14ac:dyDescent="0.3">
      <c r="A48" t="s">
        <v>380</v>
      </c>
      <c r="B48" t="s">
        <v>251</v>
      </c>
      <c r="C48">
        <v>17</v>
      </c>
    </row>
    <row r="49" spans="1:4" x14ac:dyDescent="0.3">
      <c r="A49" t="s">
        <v>381</v>
      </c>
      <c r="B49" t="s">
        <v>251</v>
      </c>
      <c r="C49">
        <v>110</v>
      </c>
    </row>
    <row r="50" spans="1:4" x14ac:dyDescent="0.3">
      <c r="A50" t="s">
        <v>382</v>
      </c>
      <c r="B50" t="s">
        <v>251</v>
      </c>
      <c r="C50">
        <v>100</v>
      </c>
    </row>
    <row r="51" spans="1:4" x14ac:dyDescent="0.3">
      <c r="A51" t="s">
        <v>383</v>
      </c>
      <c r="B51" t="s">
        <v>251</v>
      </c>
      <c r="C51">
        <v>3</v>
      </c>
    </row>
    <row r="52" spans="1:4" x14ac:dyDescent="0.3">
      <c r="A52" t="s">
        <v>384</v>
      </c>
      <c r="B52" t="s">
        <v>251</v>
      </c>
      <c r="C52">
        <v>100</v>
      </c>
    </row>
    <row r="53" spans="1:4" x14ac:dyDescent="0.3">
      <c r="A53" t="s">
        <v>385</v>
      </c>
      <c r="B53" t="s">
        <v>251</v>
      </c>
      <c r="C53">
        <v>100</v>
      </c>
    </row>
    <row r="54" spans="1:4" x14ac:dyDescent="0.3">
      <c r="A54" t="s">
        <v>386</v>
      </c>
      <c r="B54" t="s">
        <v>251</v>
      </c>
      <c r="C54">
        <v>100</v>
      </c>
    </row>
    <row r="55" spans="1:4" x14ac:dyDescent="0.3">
      <c r="A55" t="s">
        <v>387</v>
      </c>
      <c r="B55" t="s">
        <v>251</v>
      </c>
      <c r="C55">
        <v>100</v>
      </c>
    </row>
    <row r="56" spans="1:4" x14ac:dyDescent="0.3">
      <c r="A56" t="s">
        <v>388</v>
      </c>
      <c r="B56" t="s">
        <v>251</v>
      </c>
      <c r="C56">
        <v>3</v>
      </c>
    </row>
    <row r="57" spans="1:4" x14ac:dyDescent="0.3">
      <c r="A57" t="s">
        <v>389</v>
      </c>
      <c r="B57" t="s">
        <v>251</v>
      </c>
      <c r="C57">
        <v>1</v>
      </c>
    </row>
    <row r="58" spans="1:4" x14ac:dyDescent="0.3">
      <c r="A58" t="s">
        <v>390</v>
      </c>
      <c r="B58" t="s">
        <v>6</v>
      </c>
      <c r="C58">
        <v>8</v>
      </c>
    </row>
    <row r="59" spans="1:4" x14ac:dyDescent="0.3">
      <c r="A59" t="s">
        <v>391</v>
      </c>
      <c r="B59" t="s">
        <v>253</v>
      </c>
      <c r="C59">
        <v>8</v>
      </c>
      <c r="D59" t="s">
        <v>254</v>
      </c>
    </row>
    <row r="60" spans="1:4" x14ac:dyDescent="0.3">
      <c r="A60" t="s">
        <v>392</v>
      </c>
      <c r="B60" t="s">
        <v>251</v>
      </c>
      <c r="C60">
        <v>1</v>
      </c>
    </row>
    <row r="61" spans="1:4" x14ac:dyDescent="0.3">
      <c r="A61" t="s">
        <v>393</v>
      </c>
      <c r="B61" t="s">
        <v>251</v>
      </c>
      <c r="C61">
        <v>30</v>
      </c>
    </row>
    <row r="62" spans="1:4" x14ac:dyDescent="0.3">
      <c r="A62" t="s">
        <v>394</v>
      </c>
      <c r="B62" t="s">
        <v>251</v>
      </c>
      <c r="C62">
        <v>30</v>
      </c>
    </row>
    <row r="63" spans="1:4" x14ac:dyDescent="0.3">
      <c r="A63" t="s">
        <v>395</v>
      </c>
      <c r="B63" t="s">
        <v>251</v>
      </c>
      <c r="C63">
        <v>14</v>
      </c>
    </row>
    <row r="64" spans="1:4" x14ac:dyDescent="0.3">
      <c r="A64" t="s">
        <v>396</v>
      </c>
      <c r="B64" t="s">
        <v>253</v>
      </c>
      <c r="C64">
        <v>8</v>
      </c>
      <c r="D64" t="s">
        <v>254</v>
      </c>
    </row>
    <row r="65" spans="1:4" x14ac:dyDescent="0.3">
      <c r="A65" t="s">
        <v>397</v>
      </c>
      <c r="B65" t="s">
        <v>6</v>
      </c>
      <c r="C65">
        <v>8</v>
      </c>
    </row>
    <row r="66" spans="1:4" x14ac:dyDescent="0.3">
      <c r="A66" t="s">
        <v>398</v>
      </c>
      <c r="B66" t="s">
        <v>251</v>
      </c>
      <c r="C66">
        <v>17</v>
      </c>
    </row>
    <row r="67" spans="1:4" x14ac:dyDescent="0.3">
      <c r="A67" t="s">
        <v>399</v>
      </c>
      <c r="B67" t="s">
        <v>251</v>
      </c>
      <c r="C67">
        <v>110</v>
      </c>
    </row>
    <row r="68" spans="1:4" x14ac:dyDescent="0.3">
      <c r="A68" t="s">
        <v>400</v>
      </c>
      <c r="B68" t="s">
        <v>251</v>
      </c>
      <c r="C68">
        <v>100</v>
      </c>
    </row>
    <row r="69" spans="1:4" x14ac:dyDescent="0.3">
      <c r="A69" t="s">
        <v>401</v>
      </c>
      <c r="B69" t="s">
        <v>251</v>
      </c>
      <c r="C69">
        <v>3</v>
      </c>
    </row>
    <row r="70" spans="1:4" x14ac:dyDescent="0.3">
      <c r="A70" t="s">
        <v>402</v>
      </c>
      <c r="B70" t="s">
        <v>251</v>
      </c>
      <c r="C70">
        <v>100</v>
      </c>
    </row>
    <row r="71" spans="1:4" x14ac:dyDescent="0.3">
      <c r="A71" t="s">
        <v>403</v>
      </c>
      <c r="B71" t="s">
        <v>251</v>
      </c>
      <c r="C71">
        <v>100</v>
      </c>
    </row>
    <row r="72" spans="1:4" x14ac:dyDescent="0.3">
      <c r="A72" t="s">
        <v>404</v>
      </c>
      <c r="B72" t="s">
        <v>251</v>
      </c>
      <c r="C72">
        <v>100</v>
      </c>
    </row>
    <row r="73" spans="1:4" x14ac:dyDescent="0.3">
      <c r="A73" t="s">
        <v>405</v>
      </c>
      <c r="B73" t="s">
        <v>251</v>
      </c>
      <c r="C73">
        <v>100</v>
      </c>
    </row>
    <row r="74" spans="1:4" x14ac:dyDescent="0.3">
      <c r="A74" t="s">
        <v>406</v>
      </c>
      <c r="B74" t="s">
        <v>251</v>
      </c>
      <c r="C74">
        <v>3</v>
      </c>
    </row>
    <row r="75" spans="1:4" x14ac:dyDescent="0.3">
      <c r="A75" t="s">
        <v>407</v>
      </c>
      <c r="B75" t="s">
        <v>251</v>
      </c>
      <c r="C75">
        <v>1</v>
      </c>
    </row>
    <row r="76" spans="1:4" x14ac:dyDescent="0.3">
      <c r="A76" t="s">
        <v>408</v>
      </c>
      <c r="B76" t="s">
        <v>6</v>
      </c>
      <c r="C76">
        <v>8</v>
      </c>
    </row>
    <row r="77" spans="1:4" x14ac:dyDescent="0.3">
      <c r="A77" t="s">
        <v>409</v>
      </c>
      <c r="B77" t="s">
        <v>253</v>
      </c>
      <c r="C77">
        <v>8</v>
      </c>
      <c r="D77" t="s">
        <v>254</v>
      </c>
    </row>
    <row r="78" spans="1:4" x14ac:dyDescent="0.3">
      <c r="A78" t="s">
        <v>410</v>
      </c>
      <c r="B78" t="s">
        <v>251</v>
      </c>
      <c r="C78">
        <v>1</v>
      </c>
    </row>
    <row r="79" spans="1:4" x14ac:dyDescent="0.3">
      <c r="A79" t="s">
        <v>411</v>
      </c>
      <c r="B79" t="s">
        <v>251</v>
      </c>
      <c r="C79">
        <v>30</v>
      </c>
    </row>
    <row r="80" spans="1:4" x14ac:dyDescent="0.3">
      <c r="A80" t="s">
        <v>412</v>
      </c>
      <c r="B80" t="s">
        <v>251</v>
      </c>
      <c r="C80">
        <v>30</v>
      </c>
    </row>
    <row r="81" spans="1:4" x14ac:dyDescent="0.3">
      <c r="A81" t="s">
        <v>413</v>
      </c>
      <c r="B81" t="s">
        <v>251</v>
      </c>
      <c r="C81">
        <v>14</v>
      </c>
    </row>
    <row r="82" spans="1:4" x14ac:dyDescent="0.3">
      <c r="A82" t="s">
        <v>414</v>
      </c>
      <c r="B82" t="s">
        <v>253</v>
      </c>
      <c r="C82">
        <v>8</v>
      </c>
      <c r="D82" t="s">
        <v>254</v>
      </c>
    </row>
    <row r="83" spans="1:4" x14ac:dyDescent="0.3">
      <c r="A83" t="s">
        <v>415</v>
      </c>
      <c r="B83" t="s">
        <v>6</v>
      </c>
      <c r="C83">
        <v>8</v>
      </c>
    </row>
    <row r="84" spans="1:4" x14ac:dyDescent="0.3">
      <c r="A84" t="s">
        <v>416</v>
      </c>
      <c r="B84" t="s">
        <v>251</v>
      </c>
      <c r="C84">
        <v>17</v>
      </c>
    </row>
    <row r="85" spans="1:4" x14ac:dyDescent="0.3">
      <c r="A85" t="s">
        <v>417</v>
      </c>
      <c r="B85" t="s">
        <v>251</v>
      </c>
      <c r="C85">
        <v>110</v>
      </c>
    </row>
    <row r="86" spans="1:4" x14ac:dyDescent="0.3">
      <c r="A86" t="s">
        <v>418</v>
      </c>
      <c r="B86" t="s">
        <v>251</v>
      </c>
      <c r="C86">
        <v>100</v>
      </c>
    </row>
    <row r="87" spans="1:4" x14ac:dyDescent="0.3">
      <c r="A87" t="s">
        <v>419</v>
      </c>
      <c r="B87" t="s">
        <v>251</v>
      </c>
      <c r="C87">
        <v>3</v>
      </c>
    </row>
    <row r="88" spans="1:4" x14ac:dyDescent="0.3">
      <c r="A88" t="s">
        <v>420</v>
      </c>
      <c r="B88" t="s">
        <v>251</v>
      </c>
      <c r="C88">
        <v>100</v>
      </c>
    </row>
    <row r="89" spans="1:4" x14ac:dyDescent="0.3">
      <c r="A89" t="s">
        <v>421</v>
      </c>
      <c r="B89" t="s">
        <v>251</v>
      </c>
      <c r="C89">
        <v>100</v>
      </c>
    </row>
    <row r="90" spans="1:4" x14ac:dyDescent="0.3">
      <c r="A90" t="s">
        <v>422</v>
      </c>
      <c r="B90" t="s">
        <v>251</v>
      </c>
      <c r="C90">
        <v>100</v>
      </c>
    </row>
    <row r="91" spans="1:4" x14ac:dyDescent="0.3">
      <c r="A91" t="s">
        <v>423</v>
      </c>
      <c r="B91" t="s">
        <v>251</v>
      </c>
      <c r="C91">
        <v>100</v>
      </c>
    </row>
    <row r="92" spans="1:4" x14ac:dyDescent="0.3">
      <c r="A92" t="s">
        <v>424</v>
      </c>
      <c r="B92" t="s">
        <v>251</v>
      </c>
      <c r="C92">
        <v>3</v>
      </c>
    </row>
    <row r="93" spans="1:4" x14ac:dyDescent="0.3">
      <c r="A93" t="s">
        <v>425</v>
      </c>
      <c r="B93" t="s">
        <v>251</v>
      </c>
      <c r="C93">
        <v>1</v>
      </c>
    </row>
    <row r="94" spans="1:4" x14ac:dyDescent="0.3">
      <c r="A94" t="s">
        <v>426</v>
      </c>
      <c r="B94" t="s">
        <v>6</v>
      </c>
      <c r="C94">
        <v>8</v>
      </c>
    </row>
    <row r="95" spans="1:4" x14ac:dyDescent="0.3">
      <c r="A95" t="s">
        <v>427</v>
      </c>
      <c r="B95" t="s">
        <v>253</v>
      </c>
      <c r="C95">
        <v>8</v>
      </c>
      <c r="D95" t="s">
        <v>254</v>
      </c>
    </row>
    <row r="96" spans="1:4" x14ac:dyDescent="0.3">
      <c r="A96" t="s">
        <v>428</v>
      </c>
      <c r="B96" t="s">
        <v>251</v>
      </c>
      <c r="C96">
        <v>1</v>
      </c>
    </row>
    <row r="97" spans="1:4" x14ac:dyDescent="0.3">
      <c r="A97" t="s">
        <v>429</v>
      </c>
      <c r="B97" t="s">
        <v>251</v>
      </c>
      <c r="C97">
        <v>30</v>
      </c>
    </row>
    <row r="98" spans="1:4" x14ac:dyDescent="0.3">
      <c r="A98" t="s">
        <v>430</v>
      </c>
      <c r="B98" t="s">
        <v>251</v>
      </c>
      <c r="C98">
        <v>30</v>
      </c>
    </row>
    <row r="99" spans="1:4" x14ac:dyDescent="0.3">
      <c r="A99" t="s">
        <v>431</v>
      </c>
      <c r="B99" t="s">
        <v>251</v>
      </c>
      <c r="C99">
        <v>14</v>
      </c>
    </row>
    <row r="100" spans="1:4" x14ac:dyDescent="0.3">
      <c r="A100" t="s">
        <v>432</v>
      </c>
      <c r="B100" t="s">
        <v>253</v>
      </c>
      <c r="C100">
        <v>8</v>
      </c>
      <c r="D100" t="s">
        <v>254</v>
      </c>
    </row>
    <row r="101" spans="1:4" x14ac:dyDescent="0.3">
      <c r="A101" t="s">
        <v>433</v>
      </c>
      <c r="B101" t="s">
        <v>6</v>
      </c>
      <c r="C101">
        <v>8</v>
      </c>
    </row>
    <row r="102" spans="1:4" x14ac:dyDescent="0.3">
      <c r="A102" t="s">
        <v>434</v>
      </c>
      <c r="B102" t="s">
        <v>251</v>
      </c>
      <c r="C102">
        <v>17</v>
      </c>
    </row>
    <row r="103" spans="1:4" x14ac:dyDescent="0.3">
      <c r="A103" t="s">
        <v>435</v>
      </c>
      <c r="B103" t="s">
        <v>251</v>
      </c>
      <c r="C103">
        <v>110</v>
      </c>
    </row>
    <row r="104" spans="1:4" x14ac:dyDescent="0.3">
      <c r="A104" t="s">
        <v>436</v>
      </c>
      <c r="B104" t="s">
        <v>251</v>
      </c>
      <c r="C104">
        <v>100</v>
      </c>
    </row>
    <row r="105" spans="1:4" x14ac:dyDescent="0.3">
      <c r="A105" t="s">
        <v>437</v>
      </c>
      <c r="B105" t="s">
        <v>251</v>
      </c>
      <c r="C105">
        <v>3</v>
      </c>
    </row>
    <row r="106" spans="1:4" x14ac:dyDescent="0.3">
      <c r="A106" t="s">
        <v>438</v>
      </c>
      <c r="B106" t="s">
        <v>251</v>
      </c>
      <c r="C106">
        <v>100</v>
      </c>
    </row>
    <row r="107" spans="1:4" x14ac:dyDescent="0.3">
      <c r="A107" t="s">
        <v>439</v>
      </c>
      <c r="B107" t="s">
        <v>251</v>
      </c>
      <c r="C107">
        <v>100</v>
      </c>
    </row>
    <row r="108" spans="1:4" x14ac:dyDescent="0.3">
      <c r="A108" t="s">
        <v>440</v>
      </c>
      <c r="B108" t="s">
        <v>251</v>
      </c>
      <c r="C108">
        <v>100</v>
      </c>
    </row>
    <row r="109" spans="1:4" x14ac:dyDescent="0.3">
      <c r="A109" t="s">
        <v>441</v>
      </c>
      <c r="B109" t="s">
        <v>251</v>
      </c>
      <c r="C109">
        <v>100</v>
      </c>
    </row>
    <row r="110" spans="1:4" x14ac:dyDescent="0.3">
      <c r="A110" t="s">
        <v>442</v>
      </c>
      <c r="B110" t="s">
        <v>251</v>
      </c>
      <c r="C110">
        <v>3</v>
      </c>
    </row>
    <row r="111" spans="1:4" x14ac:dyDescent="0.3">
      <c r="A111" t="s">
        <v>443</v>
      </c>
      <c r="B111" t="s">
        <v>6</v>
      </c>
      <c r="C111">
        <v>8</v>
      </c>
    </row>
    <row r="112" spans="1:4" x14ac:dyDescent="0.3">
      <c r="A112" t="s">
        <v>444</v>
      </c>
      <c r="B112" t="s">
        <v>6</v>
      </c>
      <c r="C112">
        <v>8</v>
      </c>
    </row>
    <row r="113" spans="1:6" x14ac:dyDescent="0.3">
      <c r="A113" t="s">
        <v>445</v>
      </c>
      <c r="B113" t="s">
        <v>6</v>
      </c>
      <c r="C113">
        <v>8</v>
      </c>
    </row>
    <row r="114" spans="1:6" x14ac:dyDescent="0.3">
      <c r="A114" t="s">
        <v>446</v>
      </c>
      <c r="B114" t="s">
        <v>251</v>
      </c>
      <c r="C114">
        <v>110</v>
      </c>
      <c r="D114" t="s">
        <v>358</v>
      </c>
      <c r="E114" t="s">
        <v>358</v>
      </c>
      <c r="F114" t="s">
        <v>447</v>
      </c>
    </row>
    <row r="115" spans="1:6" x14ac:dyDescent="0.3">
      <c r="A115" t="s">
        <v>448</v>
      </c>
      <c r="B115" t="s">
        <v>251</v>
      </c>
      <c r="C115">
        <v>100</v>
      </c>
      <c r="D115" t="s">
        <v>326</v>
      </c>
      <c r="E115" t="s">
        <v>326</v>
      </c>
      <c r="F115" t="s">
        <v>449</v>
      </c>
    </row>
    <row r="116" spans="1:6" x14ac:dyDescent="0.3">
      <c r="A116" t="s">
        <v>450</v>
      </c>
      <c r="B116" t="s">
        <v>251</v>
      </c>
      <c r="C116">
        <v>100</v>
      </c>
    </row>
    <row r="117" spans="1:6" x14ac:dyDescent="0.3">
      <c r="A117" t="s">
        <v>451</v>
      </c>
      <c r="B117" t="s">
        <v>251</v>
      </c>
      <c r="C117">
        <v>100</v>
      </c>
    </row>
    <row r="118" spans="1:6" x14ac:dyDescent="0.3">
      <c r="A118" t="s">
        <v>452</v>
      </c>
      <c r="B118" t="s">
        <v>251</v>
      </c>
      <c r="C118">
        <v>100</v>
      </c>
      <c r="D118" t="s">
        <v>326</v>
      </c>
      <c r="E118" t="s">
        <v>326</v>
      </c>
      <c r="F118" t="s">
        <v>453</v>
      </c>
    </row>
    <row r="119" spans="1:6" x14ac:dyDescent="0.3">
      <c r="A119" t="s">
        <v>454</v>
      </c>
      <c r="B119" t="s">
        <v>6</v>
      </c>
      <c r="C119">
        <v>8</v>
      </c>
      <c r="F119" t="s">
        <v>455</v>
      </c>
    </row>
    <row r="120" spans="1:6" x14ac:dyDescent="0.3">
      <c r="A120" t="s">
        <v>456</v>
      </c>
      <c r="B120" t="s">
        <v>251</v>
      </c>
      <c r="C120">
        <v>6</v>
      </c>
    </row>
    <row r="121" spans="1:6" x14ac:dyDescent="0.3">
      <c r="A121" t="s">
        <v>457</v>
      </c>
      <c r="B121" t="s">
        <v>251</v>
      </c>
      <c r="C121">
        <v>100</v>
      </c>
      <c r="D121" t="s">
        <v>326</v>
      </c>
      <c r="E121" t="s">
        <v>326</v>
      </c>
      <c r="F121" t="s">
        <v>458</v>
      </c>
    </row>
    <row r="122" spans="1:6" x14ac:dyDescent="0.3">
      <c r="A122" t="s">
        <v>459</v>
      </c>
      <c r="B122" t="s">
        <v>6</v>
      </c>
      <c r="C122">
        <v>8</v>
      </c>
      <c r="D122">
        <v>30.6</v>
      </c>
      <c r="E122">
        <v>30.6</v>
      </c>
      <c r="F122" t="s">
        <v>460</v>
      </c>
    </row>
    <row r="123" spans="1:6" x14ac:dyDescent="0.3">
      <c r="A123" t="s">
        <v>461</v>
      </c>
      <c r="B123" t="s">
        <v>6</v>
      </c>
      <c r="C123">
        <v>8</v>
      </c>
      <c r="D123">
        <v>11.2</v>
      </c>
      <c r="E123">
        <v>11.2</v>
      </c>
      <c r="F123" t="s">
        <v>462</v>
      </c>
    </row>
    <row r="124" spans="1:6" x14ac:dyDescent="0.3">
      <c r="A124" t="s">
        <v>463</v>
      </c>
      <c r="B124" t="s">
        <v>6</v>
      </c>
      <c r="C124">
        <v>8</v>
      </c>
    </row>
    <row r="125" spans="1:6" x14ac:dyDescent="0.3">
      <c r="A125" t="s">
        <v>464</v>
      </c>
      <c r="B125" t="s">
        <v>251</v>
      </c>
      <c r="C125">
        <v>100</v>
      </c>
    </row>
    <row r="126" spans="1:6" x14ac:dyDescent="0.3">
      <c r="A126" t="s">
        <v>465</v>
      </c>
      <c r="B126" t="s">
        <v>251</v>
      </c>
      <c r="C126">
        <v>100</v>
      </c>
    </row>
    <row r="127" spans="1:6" x14ac:dyDescent="0.3">
      <c r="A127" t="s">
        <v>311</v>
      </c>
      <c r="B127" t="s">
        <v>251</v>
      </c>
      <c r="C127">
        <v>110</v>
      </c>
    </row>
    <row r="128" spans="1:6" x14ac:dyDescent="0.3">
      <c r="A128" t="s">
        <v>466</v>
      </c>
      <c r="B128" t="s">
        <v>253</v>
      </c>
      <c r="C128">
        <v>8</v>
      </c>
      <c r="D128" t="s">
        <v>254</v>
      </c>
    </row>
    <row r="129" spans="1:6" x14ac:dyDescent="0.3">
      <c r="A129" t="s">
        <v>467</v>
      </c>
      <c r="B129" t="s">
        <v>6</v>
      </c>
      <c r="C129">
        <v>8</v>
      </c>
    </row>
    <row r="130" spans="1:6" x14ac:dyDescent="0.3">
      <c r="A130" t="s">
        <v>468</v>
      </c>
      <c r="B130" t="s">
        <v>251</v>
      </c>
      <c r="C130">
        <v>3</v>
      </c>
    </row>
    <row r="131" spans="1:6" x14ac:dyDescent="0.3">
      <c r="A131" t="s">
        <v>469</v>
      </c>
      <c r="B131" t="s">
        <v>251</v>
      </c>
      <c r="C131">
        <v>1</v>
      </c>
    </row>
    <row r="132" spans="1:6" x14ac:dyDescent="0.3">
      <c r="A132" t="s">
        <v>90</v>
      </c>
      <c r="B132" t="s">
        <v>6</v>
      </c>
      <c r="C132">
        <v>8</v>
      </c>
      <c r="F132" t="s">
        <v>470</v>
      </c>
    </row>
    <row r="133" spans="1:6" x14ac:dyDescent="0.3">
      <c r="A133" t="s">
        <v>187</v>
      </c>
      <c r="B133" t="s">
        <v>6</v>
      </c>
      <c r="C133">
        <v>8</v>
      </c>
    </row>
    <row r="134" spans="1:6" x14ac:dyDescent="0.3">
      <c r="A134" t="s">
        <v>471</v>
      </c>
      <c r="B134" t="s">
        <v>251</v>
      </c>
      <c r="C134">
        <v>1</v>
      </c>
    </row>
    <row r="135" spans="1:6" x14ac:dyDescent="0.3">
      <c r="A135" t="s">
        <v>472</v>
      </c>
      <c r="B135" t="s">
        <v>251</v>
      </c>
      <c r="C135">
        <v>100</v>
      </c>
    </row>
    <row r="136" spans="1:6" x14ac:dyDescent="0.3">
      <c r="A136" t="s">
        <v>473</v>
      </c>
      <c r="B136" t="s">
        <v>251</v>
      </c>
      <c r="C136">
        <v>100</v>
      </c>
    </row>
    <row r="137" spans="1:6" x14ac:dyDescent="0.3">
      <c r="A137" t="s">
        <v>474</v>
      </c>
      <c r="B137" t="s">
        <v>251</v>
      </c>
      <c r="C137">
        <v>100</v>
      </c>
    </row>
    <row r="138" spans="1:6" x14ac:dyDescent="0.3">
      <c r="A138" t="s">
        <v>475</v>
      </c>
      <c r="B138" t="s">
        <v>251</v>
      </c>
      <c r="C138">
        <v>100</v>
      </c>
    </row>
    <row r="139" spans="1:6" x14ac:dyDescent="0.3">
      <c r="A139" t="s">
        <v>476</v>
      </c>
      <c r="B139" t="s">
        <v>251</v>
      </c>
      <c r="C139">
        <v>1</v>
      </c>
    </row>
    <row r="140" spans="1:6" x14ac:dyDescent="0.3">
      <c r="A140" t="s">
        <v>477</v>
      </c>
      <c r="B140" t="s">
        <v>6</v>
      </c>
      <c r="C140">
        <v>8</v>
      </c>
    </row>
    <row r="141" spans="1:6" x14ac:dyDescent="0.3">
      <c r="A141" t="s">
        <v>478</v>
      </c>
      <c r="B141" t="s">
        <v>251</v>
      </c>
      <c r="C141">
        <v>1</v>
      </c>
    </row>
    <row r="142" spans="1:6" x14ac:dyDescent="0.3">
      <c r="A142" t="s">
        <v>479</v>
      </c>
      <c r="B142" t="s">
        <v>251</v>
      </c>
      <c r="C142">
        <v>100</v>
      </c>
    </row>
    <row r="143" spans="1:6" x14ac:dyDescent="0.3">
      <c r="A143" t="s">
        <v>480</v>
      </c>
      <c r="B143" t="s">
        <v>251</v>
      </c>
      <c r="C143">
        <v>100</v>
      </c>
    </row>
    <row r="144" spans="1:6" x14ac:dyDescent="0.3">
      <c r="A144" t="s">
        <v>481</v>
      </c>
      <c r="B144" t="s">
        <v>251</v>
      </c>
      <c r="C144">
        <v>100</v>
      </c>
    </row>
    <row r="145" spans="1:3" x14ac:dyDescent="0.3">
      <c r="A145" t="s">
        <v>482</v>
      </c>
      <c r="B145" t="s">
        <v>251</v>
      </c>
      <c r="C145">
        <v>100</v>
      </c>
    </row>
    <row r="146" spans="1:3" x14ac:dyDescent="0.3">
      <c r="A146" t="s">
        <v>483</v>
      </c>
      <c r="B146" t="s">
        <v>251</v>
      </c>
      <c r="C146">
        <v>100</v>
      </c>
    </row>
    <row r="147" spans="1:3" x14ac:dyDescent="0.3">
      <c r="A147" t="s">
        <v>484</v>
      </c>
      <c r="B147" t="s">
        <v>251</v>
      </c>
      <c r="C147">
        <v>1</v>
      </c>
    </row>
    <row r="148" spans="1:3" x14ac:dyDescent="0.3">
      <c r="A148" t="s">
        <v>485</v>
      </c>
      <c r="B148" t="s">
        <v>251</v>
      </c>
      <c r="C148">
        <v>100</v>
      </c>
    </row>
    <row r="149" spans="1:3" x14ac:dyDescent="0.3">
      <c r="A149" t="s">
        <v>486</v>
      </c>
      <c r="B149" t="s">
        <v>6</v>
      </c>
      <c r="C149">
        <v>8</v>
      </c>
    </row>
    <row r="150" spans="1:3" x14ac:dyDescent="0.3">
      <c r="A150" t="s">
        <v>487</v>
      </c>
      <c r="B150" t="s">
        <v>251</v>
      </c>
      <c r="C150">
        <v>1</v>
      </c>
    </row>
    <row r="151" spans="1:3" x14ac:dyDescent="0.3">
      <c r="A151" t="s">
        <v>488</v>
      </c>
      <c r="B151" t="s">
        <v>251</v>
      </c>
      <c r="C151">
        <v>1</v>
      </c>
    </row>
    <row r="152" spans="1:3" x14ac:dyDescent="0.3">
      <c r="A152" t="s">
        <v>489</v>
      </c>
      <c r="B152" t="s">
        <v>251</v>
      </c>
      <c r="C152">
        <v>1</v>
      </c>
    </row>
    <row r="153" spans="1:3" x14ac:dyDescent="0.3">
      <c r="A153" t="s">
        <v>490</v>
      </c>
      <c r="B153" t="s">
        <v>6</v>
      </c>
      <c r="C153">
        <v>8</v>
      </c>
    </row>
    <row r="154" spans="1:3" x14ac:dyDescent="0.3">
      <c r="A154" t="s">
        <v>491</v>
      </c>
      <c r="B154" t="s">
        <v>251</v>
      </c>
      <c r="C154">
        <v>1</v>
      </c>
    </row>
    <row r="155" spans="1:3" x14ac:dyDescent="0.3">
      <c r="A155" t="s">
        <v>492</v>
      </c>
      <c r="B155" t="s">
        <v>251</v>
      </c>
      <c r="C155">
        <v>1</v>
      </c>
    </row>
    <row r="156" spans="1:3" x14ac:dyDescent="0.3">
      <c r="A156" t="s">
        <v>493</v>
      </c>
      <c r="B156" t="s">
        <v>251</v>
      </c>
      <c r="C156">
        <v>1</v>
      </c>
    </row>
    <row r="157" spans="1:3" x14ac:dyDescent="0.3">
      <c r="A157" t="s">
        <v>494</v>
      </c>
      <c r="B157" t="s">
        <v>251</v>
      </c>
      <c r="C157">
        <v>1</v>
      </c>
    </row>
    <row r="158" spans="1:3" x14ac:dyDescent="0.3">
      <c r="A158" t="s">
        <v>495</v>
      </c>
      <c r="B158" t="s">
        <v>251</v>
      </c>
      <c r="C158">
        <v>200</v>
      </c>
    </row>
    <row r="159" spans="1:3" x14ac:dyDescent="0.3">
      <c r="A159" t="s">
        <v>496</v>
      </c>
      <c r="B159" t="s">
        <v>251</v>
      </c>
      <c r="C159">
        <v>200</v>
      </c>
    </row>
    <row r="160" spans="1:3" x14ac:dyDescent="0.3">
      <c r="A160" t="s">
        <v>497</v>
      </c>
      <c r="B160" t="s">
        <v>251</v>
      </c>
      <c r="C160">
        <v>200</v>
      </c>
    </row>
    <row r="161" spans="1:4" x14ac:dyDescent="0.3">
      <c r="A161" t="s">
        <v>498</v>
      </c>
      <c r="B161" t="s">
        <v>251</v>
      </c>
      <c r="C161">
        <v>200</v>
      </c>
    </row>
    <row r="162" spans="1:4" x14ac:dyDescent="0.3">
      <c r="A162" t="s">
        <v>499</v>
      </c>
      <c r="B162" t="s">
        <v>251</v>
      </c>
      <c r="C162">
        <v>200</v>
      </c>
    </row>
    <row r="163" spans="1:4" x14ac:dyDescent="0.3">
      <c r="A163" t="s">
        <v>500</v>
      </c>
      <c r="B163" t="s">
        <v>251</v>
      </c>
      <c r="C163">
        <v>200</v>
      </c>
    </row>
    <row r="164" spans="1:4" x14ac:dyDescent="0.3">
      <c r="A164" t="s">
        <v>501</v>
      </c>
      <c r="B164" t="s">
        <v>251</v>
      </c>
      <c r="C164">
        <v>200</v>
      </c>
    </row>
    <row r="165" spans="1:4" x14ac:dyDescent="0.3">
      <c r="A165" t="s">
        <v>502</v>
      </c>
      <c r="B165" t="s">
        <v>251</v>
      </c>
      <c r="C165">
        <v>100</v>
      </c>
    </row>
    <row r="166" spans="1:4" x14ac:dyDescent="0.3">
      <c r="A166" t="s">
        <v>503</v>
      </c>
      <c r="B166" t="s">
        <v>251</v>
      </c>
      <c r="C166">
        <v>1</v>
      </c>
    </row>
    <row r="167" spans="1:4" x14ac:dyDescent="0.3">
      <c r="A167" t="s">
        <v>504</v>
      </c>
      <c r="B167" t="s">
        <v>251</v>
      </c>
      <c r="C167">
        <v>3</v>
      </c>
    </row>
    <row r="168" spans="1:4" x14ac:dyDescent="0.3">
      <c r="A168" t="s">
        <v>505</v>
      </c>
      <c r="B168" t="s">
        <v>251</v>
      </c>
      <c r="C168">
        <v>110</v>
      </c>
      <c r="D168" t="s">
        <v>358</v>
      </c>
    </row>
    <row r="169" spans="1:4" x14ac:dyDescent="0.3">
      <c r="A169" t="s">
        <v>506</v>
      </c>
      <c r="B169" t="s">
        <v>253</v>
      </c>
      <c r="C169">
        <v>8</v>
      </c>
      <c r="D169" t="s">
        <v>254</v>
      </c>
    </row>
    <row r="170" spans="1:4" x14ac:dyDescent="0.3">
      <c r="A170" t="s">
        <v>507</v>
      </c>
      <c r="B170" t="s">
        <v>6</v>
      </c>
      <c r="C170">
        <v>8</v>
      </c>
    </row>
    <row r="171" spans="1:4" x14ac:dyDescent="0.3">
      <c r="A171" t="s">
        <v>508</v>
      </c>
      <c r="B171" t="s">
        <v>251</v>
      </c>
      <c r="C171">
        <v>1</v>
      </c>
    </row>
    <row r="172" spans="1:4" x14ac:dyDescent="0.3">
      <c r="A172" t="s">
        <v>509</v>
      </c>
      <c r="B172" t="s">
        <v>251</v>
      </c>
      <c r="C172">
        <v>3</v>
      </c>
    </row>
    <row r="173" spans="1:4" x14ac:dyDescent="0.3">
      <c r="A173" t="s">
        <v>510</v>
      </c>
      <c r="B173" t="s">
        <v>251</v>
      </c>
      <c r="C173">
        <v>110</v>
      </c>
      <c r="D173" t="s">
        <v>358</v>
      </c>
    </row>
    <row r="174" spans="1:4" x14ac:dyDescent="0.3">
      <c r="A174" t="s">
        <v>511</v>
      </c>
      <c r="B174" t="s">
        <v>253</v>
      </c>
      <c r="C174">
        <v>8</v>
      </c>
      <c r="D174" t="s">
        <v>254</v>
      </c>
    </row>
    <row r="175" spans="1:4" x14ac:dyDescent="0.3">
      <c r="A175" t="s">
        <v>512</v>
      </c>
      <c r="B175" t="s">
        <v>6</v>
      </c>
      <c r="C175">
        <v>8</v>
      </c>
    </row>
    <row r="176" spans="1:4" x14ac:dyDescent="0.3">
      <c r="A176" t="s">
        <v>513</v>
      </c>
      <c r="B176" t="s">
        <v>251</v>
      </c>
      <c r="C176">
        <v>1</v>
      </c>
    </row>
    <row r="177" spans="1:4" x14ac:dyDescent="0.3">
      <c r="A177" t="s">
        <v>514</v>
      </c>
      <c r="B177" t="s">
        <v>251</v>
      </c>
      <c r="C177">
        <v>3</v>
      </c>
    </row>
    <row r="178" spans="1:4" x14ac:dyDescent="0.3">
      <c r="A178" t="s">
        <v>515</v>
      </c>
      <c r="B178" t="s">
        <v>251</v>
      </c>
      <c r="C178">
        <v>110</v>
      </c>
      <c r="D178" t="s">
        <v>358</v>
      </c>
    </row>
    <row r="179" spans="1:4" x14ac:dyDescent="0.3">
      <c r="A179" t="s">
        <v>516</v>
      </c>
      <c r="B179" t="s">
        <v>253</v>
      </c>
      <c r="C179">
        <v>8</v>
      </c>
      <c r="D179" t="s">
        <v>254</v>
      </c>
    </row>
    <row r="180" spans="1:4" x14ac:dyDescent="0.3">
      <c r="A180" t="s">
        <v>517</v>
      </c>
      <c r="B180" t="s">
        <v>6</v>
      </c>
      <c r="C180">
        <v>8</v>
      </c>
    </row>
    <row r="181" spans="1:4" x14ac:dyDescent="0.3">
      <c r="A181" t="s">
        <v>518</v>
      </c>
      <c r="B181" t="s">
        <v>251</v>
      </c>
      <c r="C181">
        <v>1</v>
      </c>
    </row>
    <row r="182" spans="1:4" x14ac:dyDescent="0.3">
      <c r="A182" t="s">
        <v>519</v>
      </c>
      <c r="B182" t="s">
        <v>251</v>
      </c>
      <c r="C182">
        <v>3</v>
      </c>
    </row>
    <row r="183" spans="1:4" x14ac:dyDescent="0.3">
      <c r="A183" t="s">
        <v>520</v>
      </c>
      <c r="B183" t="s">
        <v>251</v>
      </c>
      <c r="C183">
        <v>110</v>
      </c>
      <c r="D183" t="s">
        <v>358</v>
      </c>
    </row>
    <row r="184" spans="1:4" x14ac:dyDescent="0.3">
      <c r="A184" t="s">
        <v>521</v>
      </c>
      <c r="B184" t="s">
        <v>253</v>
      </c>
      <c r="C184">
        <v>8</v>
      </c>
      <c r="D184" t="s">
        <v>254</v>
      </c>
    </row>
    <row r="185" spans="1:4" x14ac:dyDescent="0.3">
      <c r="A185" t="s">
        <v>522</v>
      </c>
      <c r="B185" t="s">
        <v>6</v>
      </c>
      <c r="C185">
        <v>8</v>
      </c>
    </row>
    <row r="186" spans="1:4" x14ac:dyDescent="0.3">
      <c r="A186" t="s">
        <v>523</v>
      </c>
      <c r="B186" t="s">
        <v>251</v>
      </c>
      <c r="C186">
        <v>1</v>
      </c>
    </row>
    <row r="187" spans="1:4" x14ac:dyDescent="0.3">
      <c r="A187" t="s">
        <v>524</v>
      </c>
      <c r="B187" t="s">
        <v>251</v>
      </c>
      <c r="C187">
        <v>3</v>
      </c>
    </row>
    <row r="188" spans="1:4" x14ac:dyDescent="0.3">
      <c r="A188" t="s">
        <v>525</v>
      </c>
      <c r="B188" t="s">
        <v>251</v>
      </c>
      <c r="C188">
        <v>110</v>
      </c>
      <c r="D188" t="s">
        <v>358</v>
      </c>
    </row>
    <row r="189" spans="1:4" x14ac:dyDescent="0.3">
      <c r="A189" t="s">
        <v>526</v>
      </c>
      <c r="B189" t="s">
        <v>253</v>
      </c>
      <c r="C189">
        <v>8</v>
      </c>
      <c r="D189" t="s">
        <v>254</v>
      </c>
    </row>
    <row r="190" spans="1:4" x14ac:dyDescent="0.3">
      <c r="A190" t="s">
        <v>527</v>
      </c>
      <c r="B190" t="s">
        <v>6</v>
      </c>
      <c r="C190">
        <v>8</v>
      </c>
    </row>
    <row r="191" spans="1:4" x14ac:dyDescent="0.3">
      <c r="A191" t="s">
        <v>528</v>
      </c>
      <c r="B191" t="s">
        <v>251</v>
      </c>
      <c r="C191">
        <v>1</v>
      </c>
    </row>
    <row r="192" spans="1:4" x14ac:dyDescent="0.3">
      <c r="A192" t="s">
        <v>529</v>
      </c>
      <c r="B192" t="s">
        <v>251</v>
      </c>
      <c r="C192">
        <v>3</v>
      </c>
      <c r="D192" t="s">
        <v>320</v>
      </c>
    </row>
    <row r="193" spans="1:4" x14ac:dyDescent="0.3">
      <c r="A193" t="s">
        <v>530</v>
      </c>
      <c r="B193" t="s">
        <v>251</v>
      </c>
      <c r="C193">
        <v>110</v>
      </c>
      <c r="D193" t="s">
        <v>358</v>
      </c>
    </row>
    <row r="194" spans="1:4" x14ac:dyDescent="0.3">
      <c r="A194" t="s">
        <v>531</v>
      </c>
      <c r="B194" t="s">
        <v>253</v>
      </c>
      <c r="C194">
        <v>8</v>
      </c>
      <c r="D194" t="s">
        <v>254</v>
      </c>
    </row>
    <row r="195" spans="1:4" x14ac:dyDescent="0.3">
      <c r="A195" t="s">
        <v>532</v>
      </c>
      <c r="B195" t="s">
        <v>6</v>
      </c>
      <c r="C195">
        <v>8</v>
      </c>
      <c r="D195" t="s">
        <v>533</v>
      </c>
    </row>
    <row r="196" spans="1:4" x14ac:dyDescent="0.3">
      <c r="A196" t="s">
        <v>534</v>
      </c>
      <c r="B196" t="s">
        <v>251</v>
      </c>
      <c r="C196">
        <v>1</v>
      </c>
    </row>
    <row r="197" spans="1:4" x14ac:dyDescent="0.3">
      <c r="A197" t="s">
        <v>535</v>
      </c>
      <c r="B197" t="s">
        <v>251</v>
      </c>
      <c r="C197">
        <v>3</v>
      </c>
      <c r="D197" t="s">
        <v>320</v>
      </c>
    </row>
    <row r="198" spans="1:4" x14ac:dyDescent="0.3">
      <c r="A198" t="s">
        <v>536</v>
      </c>
      <c r="B198" t="s">
        <v>251</v>
      </c>
      <c r="C198">
        <v>110</v>
      </c>
      <c r="D198" t="s">
        <v>358</v>
      </c>
    </row>
    <row r="199" spans="1:4" x14ac:dyDescent="0.3">
      <c r="A199" t="s">
        <v>537</v>
      </c>
      <c r="B199" t="s">
        <v>253</v>
      </c>
      <c r="C199">
        <v>8</v>
      </c>
      <c r="D199" t="s">
        <v>254</v>
      </c>
    </row>
    <row r="200" spans="1:4" x14ac:dyDescent="0.3">
      <c r="A200" t="s">
        <v>538</v>
      </c>
      <c r="B200" t="s">
        <v>6</v>
      </c>
      <c r="C200">
        <v>8</v>
      </c>
      <c r="D200" t="s">
        <v>533</v>
      </c>
    </row>
    <row r="201" spans="1:4" x14ac:dyDescent="0.3">
      <c r="A201" t="s">
        <v>539</v>
      </c>
      <c r="B201" t="s">
        <v>251</v>
      </c>
      <c r="C201">
        <v>1</v>
      </c>
    </row>
    <row r="202" spans="1:4" x14ac:dyDescent="0.3">
      <c r="A202" t="s">
        <v>540</v>
      </c>
      <c r="B202" t="s">
        <v>251</v>
      </c>
      <c r="C202">
        <v>3</v>
      </c>
      <c r="D202" t="s">
        <v>320</v>
      </c>
    </row>
    <row r="203" spans="1:4" x14ac:dyDescent="0.3">
      <c r="A203" t="s">
        <v>541</v>
      </c>
      <c r="B203" t="s">
        <v>251</v>
      </c>
      <c r="C203">
        <v>110</v>
      </c>
      <c r="D203" t="s">
        <v>358</v>
      </c>
    </row>
    <row r="204" spans="1:4" x14ac:dyDescent="0.3">
      <c r="A204" t="s">
        <v>542</v>
      </c>
      <c r="B204" t="s">
        <v>253</v>
      </c>
      <c r="C204">
        <v>8</v>
      </c>
      <c r="D204" t="s">
        <v>254</v>
      </c>
    </row>
    <row r="205" spans="1:4" x14ac:dyDescent="0.3">
      <c r="A205" t="s">
        <v>543</v>
      </c>
      <c r="B205" t="s">
        <v>6</v>
      </c>
      <c r="C205">
        <v>8</v>
      </c>
      <c r="D205" t="s">
        <v>533</v>
      </c>
    </row>
    <row r="206" spans="1:4" x14ac:dyDescent="0.3">
      <c r="A206" t="s">
        <v>544</v>
      </c>
      <c r="B206" t="s">
        <v>251</v>
      </c>
      <c r="C206">
        <v>1</v>
      </c>
    </row>
    <row r="207" spans="1:4" x14ac:dyDescent="0.3">
      <c r="A207" t="s">
        <v>545</v>
      </c>
      <c r="B207" t="s">
        <v>251</v>
      </c>
      <c r="C207">
        <v>3</v>
      </c>
      <c r="D207" t="s">
        <v>320</v>
      </c>
    </row>
    <row r="208" spans="1:4" x14ac:dyDescent="0.3">
      <c r="A208" t="s">
        <v>546</v>
      </c>
      <c r="B208" t="s">
        <v>251</v>
      </c>
      <c r="C208">
        <v>110</v>
      </c>
      <c r="D208" t="s">
        <v>358</v>
      </c>
    </row>
    <row r="209" spans="1:4" x14ac:dyDescent="0.3">
      <c r="A209" t="s">
        <v>547</v>
      </c>
      <c r="B209" t="s">
        <v>253</v>
      </c>
      <c r="C209">
        <v>8</v>
      </c>
      <c r="D209" t="s">
        <v>254</v>
      </c>
    </row>
    <row r="210" spans="1:4" x14ac:dyDescent="0.3">
      <c r="A210" t="s">
        <v>548</v>
      </c>
      <c r="B210" t="s">
        <v>6</v>
      </c>
      <c r="C210">
        <v>8</v>
      </c>
      <c r="D210" t="s">
        <v>533</v>
      </c>
    </row>
    <row r="211" spans="1:4" x14ac:dyDescent="0.3">
      <c r="A211" t="s">
        <v>549</v>
      </c>
      <c r="B211" t="s">
        <v>251</v>
      </c>
      <c r="C211">
        <v>1</v>
      </c>
    </row>
    <row r="212" spans="1:4" x14ac:dyDescent="0.3">
      <c r="A212" t="s">
        <v>550</v>
      </c>
      <c r="B212" t="s">
        <v>251</v>
      </c>
      <c r="C212">
        <v>3</v>
      </c>
      <c r="D212" t="s">
        <v>320</v>
      </c>
    </row>
    <row r="213" spans="1:4" x14ac:dyDescent="0.3">
      <c r="A213" t="s">
        <v>551</v>
      </c>
      <c r="B213" t="s">
        <v>251</v>
      </c>
      <c r="C213">
        <v>110</v>
      </c>
      <c r="D213" t="s">
        <v>358</v>
      </c>
    </row>
    <row r="214" spans="1:4" x14ac:dyDescent="0.3">
      <c r="A214" t="s">
        <v>552</v>
      </c>
      <c r="B214" t="s">
        <v>253</v>
      </c>
      <c r="C214">
        <v>8</v>
      </c>
      <c r="D214" t="s">
        <v>254</v>
      </c>
    </row>
    <row r="215" spans="1:4" x14ac:dyDescent="0.3">
      <c r="A215" t="s">
        <v>553</v>
      </c>
      <c r="B215" t="s">
        <v>6</v>
      </c>
      <c r="C215">
        <v>8</v>
      </c>
      <c r="D215" t="s">
        <v>533</v>
      </c>
    </row>
    <row r="216" spans="1:4" x14ac:dyDescent="0.3">
      <c r="A216" t="s">
        <v>554</v>
      </c>
      <c r="B216" t="s">
        <v>251</v>
      </c>
      <c r="C216">
        <v>1</v>
      </c>
    </row>
    <row r="217" spans="1:4" x14ac:dyDescent="0.3">
      <c r="A217" t="s">
        <v>555</v>
      </c>
      <c r="B217" t="s">
        <v>251</v>
      </c>
      <c r="C217">
        <v>100</v>
      </c>
      <c r="D217" t="s">
        <v>326</v>
      </c>
    </row>
    <row r="218" spans="1:4" x14ac:dyDescent="0.3">
      <c r="A218" t="s">
        <v>556</v>
      </c>
      <c r="B218" t="s">
        <v>6</v>
      </c>
      <c r="C218">
        <v>8</v>
      </c>
      <c r="D218" t="s">
        <v>533</v>
      </c>
    </row>
    <row r="219" spans="1:4" x14ac:dyDescent="0.3">
      <c r="A219" t="s">
        <v>557</v>
      </c>
      <c r="B219" t="s">
        <v>253</v>
      </c>
      <c r="C219">
        <v>8</v>
      </c>
      <c r="D219" t="s">
        <v>254</v>
      </c>
    </row>
    <row r="220" spans="1:4" x14ac:dyDescent="0.3">
      <c r="A220" t="s">
        <v>558</v>
      </c>
      <c r="B220" t="s">
        <v>6</v>
      </c>
      <c r="C220">
        <v>8</v>
      </c>
    </row>
    <row r="221" spans="1:4" x14ac:dyDescent="0.3">
      <c r="A221" t="s">
        <v>559</v>
      </c>
      <c r="B221" t="s">
        <v>251</v>
      </c>
      <c r="C221">
        <v>100</v>
      </c>
      <c r="D221" t="s">
        <v>326</v>
      </c>
    </row>
    <row r="222" spans="1:4" x14ac:dyDescent="0.3">
      <c r="A222" t="s">
        <v>560</v>
      </c>
      <c r="B222" t="s">
        <v>6</v>
      </c>
      <c r="C222">
        <v>8</v>
      </c>
      <c r="D222" t="s">
        <v>533</v>
      </c>
    </row>
    <row r="223" spans="1:4" x14ac:dyDescent="0.3">
      <c r="A223" t="s">
        <v>561</v>
      </c>
      <c r="B223" t="s">
        <v>253</v>
      </c>
      <c r="C223">
        <v>8</v>
      </c>
      <c r="D223" t="s">
        <v>254</v>
      </c>
    </row>
    <row r="224" spans="1:4" x14ac:dyDescent="0.3">
      <c r="A224" t="s">
        <v>562</v>
      </c>
      <c r="B224" t="s">
        <v>6</v>
      </c>
      <c r="C224">
        <v>8</v>
      </c>
    </row>
    <row r="225" spans="1:4" x14ac:dyDescent="0.3">
      <c r="A225" t="s">
        <v>563</v>
      </c>
      <c r="B225" t="s">
        <v>251</v>
      </c>
      <c r="C225">
        <v>100</v>
      </c>
      <c r="D225" t="s">
        <v>326</v>
      </c>
    </row>
    <row r="226" spans="1:4" x14ac:dyDescent="0.3">
      <c r="A226" t="s">
        <v>564</v>
      </c>
      <c r="B226" t="s">
        <v>6</v>
      </c>
      <c r="C226">
        <v>8</v>
      </c>
      <c r="D226" t="s">
        <v>533</v>
      </c>
    </row>
    <row r="227" spans="1:4" x14ac:dyDescent="0.3">
      <c r="A227" t="s">
        <v>565</v>
      </c>
      <c r="B227" t="s">
        <v>253</v>
      </c>
      <c r="C227">
        <v>8</v>
      </c>
      <c r="D227" t="s">
        <v>254</v>
      </c>
    </row>
    <row r="228" spans="1:4" x14ac:dyDescent="0.3">
      <c r="A228" t="s">
        <v>566</v>
      </c>
      <c r="B228" t="s">
        <v>6</v>
      </c>
      <c r="C228">
        <v>8</v>
      </c>
    </row>
    <row r="229" spans="1:4" x14ac:dyDescent="0.3">
      <c r="A229" t="s">
        <v>567</v>
      </c>
      <c r="B229" t="s">
        <v>251</v>
      </c>
      <c r="C229">
        <v>100</v>
      </c>
      <c r="D229" t="s">
        <v>326</v>
      </c>
    </row>
    <row r="230" spans="1:4" x14ac:dyDescent="0.3">
      <c r="A230" t="s">
        <v>568</v>
      </c>
      <c r="B230" t="s">
        <v>6</v>
      </c>
      <c r="C230">
        <v>8</v>
      </c>
      <c r="D230" t="s">
        <v>533</v>
      </c>
    </row>
    <row r="231" spans="1:4" x14ac:dyDescent="0.3">
      <c r="A231" t="s">
        <v>569</v>
      </c>
      <c r="B231" t="s">
        <v>253</v>
      </c>
      <c r="C231">
        <v>8</v>
      </c>
      <c r="D231" t="s">
        <v>254</v>
      </c>
    </row>
    <row r="232" spans="1:4" x14ac:dyDescent="0.3">
      <c r="A232" t="s">
        <v>570</v>
      </c>
      <c r="B232" t="s">
        <v>6</v>
      </c>
      <c r="C232">
        <v>8</v>
      </c>
    </row>
    <row r="233" spans="1:4" x14ac:dyDescent="0.3">
      <c r="A233" t="s">
        <v>571</v>
      </c>
      <c r="B233" t="s">
        <v>251</v>
      </c>
      <c r="C233">
        <v>100</v>
      </c>
      <c r="D233" t="s">
        <v>326</v>
      </c>
    </row>
    <row r="234" spans="1:4" x14ac:dyDescent="0.3">
      <c r="A234" t="s">
        <v>572</v>
      </c>
      <c r="B234" t="s">
        <v>6</v>
      </c>
      <c r="C234">
        <v>8</v>
      </c>
      <c r="D234" t="s">
        <v>533</v>
      </c>
    </row>
    <row r="235" spans="1:4" x14ac:dyDescent="0.3">
      <c r="A235" t="s">
        <v>573</v>
      </c>
      <c r="B235" t="s">
        <v>253</v>
      </c>
      <c r="C235">
        <v>8</v>
      </c>
      <c r="D235" t="s">
        <v>254</v>
      </c>
    </row>
    <row r="236" spans="1:4" x14ac:dyDescent="0.3">
      <c r="A236" t="s">
        <v>574</v>
      </c>
      <c r="B236" t="s">
        <v>6</v>
      </c>
      <c r="C236">
        <v>8</v>
      </c>
    </row>
    <row r="237" spans="1:4" x14ac:dyDescent="0.3">
      <c r="A237" t="s">
        <v>575</v>
      </c>
      <c r="B237" t="s">
        <v>251</v>
      </c>
      <c r="C237">
        <v>100</v>
      </c>
      <c r="D237" t="s">
        <v>326</v>
      </c>
    </row>
    <row r="238" spans="1:4" x14ac:dyDescent="0.3">
      <c r="A238" t="s">
        <v>576</v>
      </c>
      <c r="B238" t="s">
        <v>6</v>
      </c>
      <c r="C238">
        <v>8</v>
      </c>
      <c r="D238" t="s">
        <v>533</v>
      </c>
    </row>
    <row r="239" spans="1:4" x14ac:dyDescent="0.3">
      <c r="A239" t="s">
        <v>577</v>
      </c>
      <c r="B239" t="s">
        <v>253</v>
      </c>
      <c r="C239">
        <v>8</v>
      </c>
      <c r="D239" t="s">
        <v>254</v>
      </c>
    </row>
    <row r="240" spans="1:4" x14ac:dyDescent="0.3">
      <c r="A240" t="s">
        <v>578</v>
      </c>
      <c r="B240" t="s">
        <v>6</v>
      </c>
      <c r="C240">
        <v>8</v>
      </c>
    </row>
    <row r="241" spans="1:4" x14ac:dyDescent="0.3">
      <c r="A241" t="s">
        <v>579</v>
      </c>
      <c r="B241" t="s">
        <v>251</v>
      </c>
      <c r="C241">
        <v>100</v>
      </c>
      <c r="D241" t="s">
        <v>326</v>
      </c>
    </row>
    <row r="242" spans="1:4" x14ac:dyDescent="0.3">
      <c r="A242" t="s">
        <v>580</v>
      </c>
      <c r="B242" t="s">
        <v>6</v>
      </c>
      <c r="C242">
        <v>8</v>
      </c>
      <c r="D242" t="s">
        <v>533</v>
      </c>
    </row>
    <row r="243" spans="1:4" x14ac:dyDescent="0.3">
      <c r="A243" t="s">
        <v>581</v>
      </c>
      <c r="B243" t="s">
        <v>253</v>
      </c>
      <c r="C243">
        <v>8</v>
      </c>
      <c r="D243" t="s">
        <v>254</v>
      </c>
    </row>
    <row r="244" spans="1:4" x14ac:dyDescent="0.3">
      <c r="A244" t="s">
        <v>582</v>
      </c>
      <c r="B244" t="s">
        <v>6</v>
      </c>
      <c r="C244">
        <v>8</v>
      </c>
    </row>
    <row r="245" spans="1:4" x14ac:dyDescent="0.3">
      <c r="A245" t="s">
        <v>583</v>
      </c>
      <c r="B245" t="s">
        <v>251</v>
      </c>
      <c r="C245">
        <v>100</v>
      </c>
      <c r="D245" t="s">
        <v>326</v>
      </c>
    </row>
    <row r="246" spans="1:4" x14ac:dyDescent="0.3">
      <c r="A246" t="s">
        <v>584</v>
      </c>
      <c r="B246" t="s">
        <v>6</v>
      </c>
      <c r="C246">
        <v>8</v>
      </c>
      <c r="D246" t="s">
        <v>533</v>
      </c>
    </row>
    <row r="247" spans="1:4" x14ac:dyDescent="0.3">
      <c r="A247" t="s">
        <v>585</v>
      </c>
      <c r="B247" t="s">
        <v>253</v>
      </c>
      <c r="C247">
        <v>8</v>
      </c>
      <c r="D247" t="s">
        <v>254</v>
      </c>
    </row>
    <row r="248" spans="1:4" x14ac:dyDescent="0.3">
      <c r="A248" t="s">
        <v>586</v>
      </c>
      <c r="B248" t="s">
        <v>6</v>
      </c>
      <c r="C248">
        <v>8</v>
      </c>
    </row>
    <row r="249" spans="1:4" x14ac:dyDescent="0.3">
      <c r="A249" t="s">
        <v>587</v>
      </c>
      <c r="B249" t="s">
        <v>251</v>
      </c>
      <c r="C249">
        <v>100</v>
      </c>
      <c r="D249" t="s">
        <v>326</v>
      </c>
    </row>
    <row r="250" spans="1:4" x14ac:dyDescent="0.3">
      <c r="A250" t="s">
        <v>588</v>
      </c>
      <c r="B250" t="s">
        <v>6</v>
      </c>
      <c r="C250">
        <v>8</v>
      </c>
      <c r="D250" t="s">
        <v>533</v>
      </c>
    </row>
    <row r="251" spans="1:4" x14ac:dyDescent="0.3">
      <c r="A251" t="s">
        <v>589</v>
      </c>
      <c r="B251" t="s">
        <v>253</v>
      </c>
      <c r="C251">
        <v>8</v>
      </c>
      <c r="D251" t="s">
        <v>254</v>
      </c>
    </row>
    <row r="252" spans="1:4" x14ac:dyDescent="0.3">
      <c r="A252" t="s">
        <v>590</v>
      </c>
      <c r="B252" t="s">
        <v>6</v>
      </c>
      <c r="C252">
        <v>8</v>
      </c>
    </row>
    <row r="253" spans="1:4" x14ac:dyDescent="0.3">
      <c r="A253" t="s">
        <v>591</v>
      </c>
      <c r="B253" t="s">
        <v>251</v>
      </c>
      <c r="C253">
        <v>100</v>
      </c>
      <c r="D253" t="s">
        <v>326</v>
      </c>
    </row>
    <row r="254" spans="1:4" x14ac:dyDescent="0.3">
      <c r="A254" t="s">
        <v>592</v>
      </c>
      <c r="B254" t="s">
        <v>6</v>
      </c>
      <c r="C254">
        <v>8</v>
      </c>
      <c r="D254" t="s">
        <v>533</v>
      </c>
    </row>
    <row r="255" spans="1:4" x14ac:dyDescent="0.3">
      <c r="A255" t="s">
        <v>593</v>
      </c>
      <c r="B255" t="s">
        <v>253</v>
      </c>
      <c r="C255">
        <v>8</v>
      </c>
      <c r="D255" t="s">
        <v>254</v>
      </c>
    </row>
    <row r="256" spans="1:4" x14ac:dyDescent="0.3">
      <c r="A256" t="s">
        <v>594</v>
      </c>
      <c r="B256" t="s">
        <v>6</v>
      </c>
      <c r="C256">
        <v>8</v>
      </c>
    </row>
    <row r="257" spans="1:6" x14ac:dyDescent="0.3">
      <c r="A257" t="s">
        <v>595</v>
      </c>
      <c r="B257" t="s">
        <v>6</v>
      </c>
      <c r="C257">
        <v>8</v>
      </c>
    </row>
    <row r="258" spans="1:6" x14ac:dyDescent="0.3">
      <c r="A258" t="s">
        <v>596</v>
      </c>
      <c r="B258" t="s">
        <v>6</v>
      </c>
      <c r="C258">
        <v>8</v>
      </c>
    </row>
    <row r="259" spans="1:6" x14ac:dyDescent="0.3">
      <c r="A259" t="s">
        <v>597</v>
      </c>
      <c r="B259" t="s">
        <v>6</v>
      </c>
      <c r="C259">
        <v>8</v>
      </c>
      <c r="D259">
        <v>8.1999999999999993</v>
      </c>
    </row>
    <row r="260" spans="1:6" x14ac:dyDescent="0.3">
      <c r="A260" t="s">
        <v>598</v>
      </c>
      <c r="B260" t="s">
        <v>6</v>
      </c>
      <c r="C260">
        <v>8</v>
      </c>
      <c r="D260">
        <v>8.1999999999999993</v>
      </c>
    </row>
    <row r="261" spans="1:6" x14ac:dyDescent="0.3">
      <c r="A261" t="s">
        <v>599</v>
      </c>
      <c r="B261" t="s">
        <v>6</v>
      </c>
      <c r="C261">
        <v>8</v>
      </c>
      <c r="D261">
        <v>8.1999999999999993</v>
      </c>
      <c r="E261">
        <v>30.6</v>
      </c>
      <c r="F261" t="s">
        <v>600</v>
      </c>
    </row>
    <row r="262" spans="1:6" x14ac:dyDescent="0.3">
      <c r="A262" t="s">
        <v>601</v>
      </c>
      <c r="B262" t="s">
        <v>6</v>
      </c>
      <c r="C262">
        <v>8</v>
      </c>
      <c r="D262">
        <v>8.1999999999999993</v>
      </c>
      <c r="E262">
        <v>30.6</v>
      </c>
      <c r="F262" t="s">
        <v>602</v>
      </c>
    </row>
    <row r="263" spans="1:6" x14ac:dyDescent="0.3">
      <c r="A263" t="s">
        <v>603</v>
      </c>
      <c r="B263" t="s">
        <v>6</v>
      </c>
      <c r="C263">
        <v>8</v>
      </c>
    </row>
    <row r="264" spans="1:6" x14ac:dyDescent="0.3">
      <c r="A264" t="s">
        <v>604</v>
      </c>
      <c r="B264" t="s">
        <v>6</v>
      </c>
      <c r="C264">
        <v>8</v>
      </c>
    </row>
    <row r="265" spans="1:6" x14ac:dyDescent="0.3">
      <c r="A265" t="s">
        <v>605</v>
      </c>
      <c r="B265" t="s">
        <v>251</v>
      </c>
      <c r="C265">
        <v>20</v>
      </c>
      <c r="D265" t="s">
        <v>606</v>
      </c>
      <c r="E265" t="s">
        <v>606</v>
      </c>
      <c r="F265" t="s">
        <v>607</v>
      </c>
    </row>
    <row r="266" spans="1:6" x14ac:dyDescent="0.3">
      <c r="A266" t="s">
        <v>608</v>
      </c>
      <c r="B266" t="s">
        <v>6</v>
      </c>
      <c r="C266">
        <v>8</v>
      </c>
    </row>
    <row r="267" spans="1:6" x14ac:dyDescent="0.3">
      <c r="A267" t="s">
        <v>609</v>
      </c>
      <c r="B267" t="s">
        <v>6</v>
      </c>
      <c r="C267">
        <v>8</v>
      </c>
    </row>
    <row r="268" spans="1:6" x14ac:dyDescent="0.3">
      <c r="A268" t="s">
        <v>610</v>
      </c>
      <c r="B268" t="s">
        <v>6</v>
      </c>
      <c r="C268">
        <v>8</v>
      </c>
    </row>
    <row r="269" spans="1:6" x14ac:dyDescent="0.3">
      <c r="A269" t="s">
        <v>611</v>
      </c>
      <c r="B269" t="s">
        <v>6</v>
      </c>
      <c r="C269">
        <v>8</v>
      </c>
    </row>
    <row r="270" spans="1:6" x14ac:dyDescent="0.3">
      <c r="A270" t="s">
        <v>612</v>
      </c>
      <c r="B270" t="s">
        <v>6</v>
      </c>
      <c r="C270">
        <v>8</v>
      </c>
    </row>
    <row r="271" spans="1:6" x14ac:dyDescent="0.3">
      <c r="A271" t="s">
        <v>613</v>
      </c>
      <c r="B271" t="s">
        <v>6</v>
      </c>
      <c r="C271">
        <v>8</v>
      </c>
      <c r="F271" t="s">
        <v>614</v>
      </c>
    </row>
    <row r="272" spans="1:6" x14ac:dyDescent="0.3">
      <c r="A272" t="s">
        <v>615</v>
      </c>
      <c r="B272" t="s">
        <v>6</v>
      </c>
      <c r="C272">
        <v>8</v>
      </c>
    </row>
    <row r="273" spans="1:6" x14ac:dyDescent="0.3">
      <c r="A273" t="s">
        <v>616</v>
      </c>
      <c r="B273" t="s">
        <v>6</v>
      </c>
      <c r="C273">
        <v>8</v>
      </c>
    </row>
    <row r="274" spans="1:6" x14ac:dyDescent="0.3">
      <c r="A274" t="s">
        <v>617</v>
      </c>
      <c r="B274" t="s">
        <v>251</v>
      </c>
      <c r="C274">
        <v>100</v>
      </c>
      <c r="D274" t="s">
        <v>326</v>
      </c>
      <c r="E274" t="s">
        <v>326</v>
      </c>
      <c r="F274" t="s">
        <v>618</v>
      </c>
    </row>
    <row r="275" spans="1:6" x14ac:dyDescent="0.3">
      <c r="A275" t="s">
        <v>619</v>
      </c>
      <c r="B275" t="s">
        <v>251</v>
      </c>
      <c r="C275">
        <v>100</v>
      </c>
      <c r="D275" t="s">
        <v>326</v>
      </c>
      <c r="E275" t="s">
        <v>326</v>
      </c>
      <c r="F275" t="s">
        <v>620</v>
      </c>
    </row>
    <row r="276" spans="1:6" x14ac:dyDescent="0.3">
      <c r="A276" t="s">
        <v>621</v>
      </c>
      <c r="B276" t="s">
        <v>251</v>
      </c>
      <c r="C276">
        <v>20</v>
      </c>
      <c r="D276" t="s">
        <v>622</v>
      </c>
      <c r="E276" t="s">
        <v>622</v>
      </c>
    </row>
    <row r="277" spans="1:6" x14ac:dyDescent="0.3">
      <c r="A277" t="s">
        <v>1</v>
      </c>
      <c r="B277" t="s">
        <v>251</v>
      </c>
      <c r="C277">
        <v>20</v>
      </c>
      <c r="D277" t="s">
        <v>622</v>
      </c>
      <c r="E277" t="s">
        <v>622</v>
      </c>
    </row>
    <row r="278" spans="1:6" x14ac:dyDescent="0.3">
      <c r="A278" t="s">
        <v>623</v>
      </c>
      <c r="B278" t="s">
        <v>251</v>
      </c>
      <c r="C278">
        <v>11</v>
      </c>
      <c r="D278" t="s">
        <v>624</v>
      </c>
      <c r="E278" t="s">
        <v>624</v>
      </c>
    </row>
    <row r="279" spans="1:6" x14ac:dyDescent="0.3">
      <c r="A279" t="s">
        <v>625</v>
      </c>
      <c r="B279" t="s">
        <v>251</v>
      </c>
      <c r="C279">
        <v>14</v>
      </c>
      <c r="D279" t="s">
        <v>626</v>
      </c>
      <c r="E279" t="s">
        <v>626</v>
      </c>
    </row>
    <row r="280" spans="1:6" x14ac:dyDescent="0.3">
      <c r="A280" t="s">
        <v>627</v>
      </c>
      <c r="B280" t="s">
        <v>251</v>
      </c>
      <c r="C280">
        <v>11</v>
      </c>
      <c r="D280" t="s">
        <v>624</v>
      </c>
      <c r="E280" t="s">
        <v>624</v>
      </c>
    </row>
    <row r="281" spans="1:6" x14ac:dyDescent="0.3">
      <c r="A281" t="s">
        <v>628</v>
      </c>
      <c r="B281" t="s">
        <v>6</v>
      </c>
      <c r="C281">
        <v>8</v>
      </c>
    </row>
    <row r="282" spans="1:6" x14ac:dyDescent="0.3">
      <c r="A282" t="s">
        <v>629</v>
      </c>
      <c r="B282" t="s">
        <v>251</v>
      </c>
      <c r="C282">
        <v>10</v>
      </c>
      <c r="D282" t="s">
        <v>630</v>
      </c>
      <c r="E282" t="s">
        <v>252</v>
      </c>
      <c r="F282" t="s">
        <v>631</v>
      </c>
    </row>
    <row r="283" spans="1:6" x14ac:dyDescent="0.3">
      <c r="A283" t="s">
        <v>632</v>
      </c>
      <c r="B283" t="s">
        <v>251</v>
      </c>
      <c r="C283">
        <v>30</v>
      </c>
      <c r="D283" t="s">
        <v>633</v>
      </c>
      <c r="E283" t="s">
        <v>633</v>
      </c>
      <c r="F283" t="s">
        <v>634</v>
      </c>
    </row>
    <row r="284" spans="1:6" x14ac:dyDescent="0.3">
      <c r="A284" t="s">
        <v>635</v>
      </c>
      <c r="B284" t="s">
        <v>6</v>
      </c>
      <c r="C284">
        <v>8</v>
      </c>
    </row>
    <row r="285" spans="1:6" x14ac:dyDescent="0.3">
      <c r="A285" t="s">
        <v>636</v>
      </c>
      <c r="B285" t="s">
        <v>6</v>
      </c>
      <c r="C285">
        <v>8</v>
      </c>
    </row>
    <row r="286" spans="1:6" x14ac:dyDescent="0.3">
      <c r="A286" t="s">
        <v>256</v>
      </c>
      <c r="B286" t="s">
        <v>6</v>
      </c>
      <c r="C286">
        <v>8</v>
      </c>
    </row>
    <row r="287" spans="1:6" x14ac:dyDescent="0.3">
      <c r="A287" t="s">
        <v>637</v>
      </c>
      <c r="B287" t="s">
        <v>6</v>
      </c>
      <c r="C287">
        <v>8</v>
      </c>
    </row>
    <row r="288" spans="1:6" x14ac:dyDescent="0.3">
      <c r="A288" t="s">
        <v>638</v>
      </c>
      <c r="B288" t="s">
        <v>6</v>
      </c>
      <c r="C288">
        <v>8</v>
      </c>
    </row>
    <row r="289" spans="1:3" x14ac:dyDescent="0.3">
      <c r="A289" t="s">
        <v>639</v>
      </c>
      <c r="B289" t="s">
        <v>6</v>
      </c>
      <c r="C289">
        <v>8</v>
      </c>
    </row>
    <row r="290" spans="1:3" x14ac:dyDescent="0.3">
      <c r="A290" t="s">
        <v>640</v>
      </c>
      <c r="B290" t="s">
        <v>6</v>
      </c>
      <c r="C290">
        <v>8</v>
      </c>
    </row>
    <row r="291" spans="1:3" x14ac:dyDescent="0.3">
      <c r="A291" t="s">
        <v>257</v>
      </c>
      <c r="B291" t="s">
        <v>6</v>
      </c>
      <c r="C291">
        <v>8</v>
      </c>
    </row>
    <row r="292" spans="1:3" x14ac:dyDescent="0.3">
      <c r="A292" t="s">
        <v>641</v>
      </c>
      <c r="B292" t="s">
        <v>6</v>
      </c>
      <c r="C292">
        <v>8</v>
      </c>
    </row>
  </sheetData>
  <autoFilter ref="A1:G1" xr:uid="{00000000-0009-0000-0000-000001000000}"/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6" tint="-0.499984740745262"/>
  </sheetPr>
  <dimension ref="B2:D4"/>
  <sheetViews>
    <sheetView topLeftCell="B1" workbookViewId="0">
      <selection activeCell="D3" sqref="D3:D4"/>
    </sheetView>
  </sheetViews>
  <sheetFormatPr defaultRowHeight="14.4" x14ac:dyDescent="0.3"/>
  <cols>
    <col min="2" max="2" width="20.5546875" bestFit="1" customWidth="1"/>
    <col min="3" max="3" width="30" customWidth="1"/>
    <col min="4" max="4" width="138.33203125" style="5" bestFit="1" customWidth="1"/>
  </cols>
  <sheetData>
    <row r="2" spans="2:4" s="1" customFormat="1" x14ac:dyDescent="0.3">
      <c r="C2" s="1" t="s">
        <v>102</v>
      </c>
      <c r="D2" s="6" t="s">
        <v>60</v>
      </c>
    </row>
    <row r="3" spans="2:4" x14ac:dyDescent="0.3">
      <c r="B3" s="1" t="s">
        <v>65</v>
      </c>
      <c r="C3" s="9" t="s">
        <v>642</v>
      </c>
      <c r="D3" s="5" t="str">
        <f>"setwd("""&amp;SUBSTITUTE(SUBSTITUTE(C3,"\","//"),"////","//")&amp;""")"</f>
        <v>setwd("//finl404arch//minnwsrv001//Underwriting &amp; Pricing//data//shared//Pricing &amp; Planning//Motor//Jim//Apprenticeship//Assessments//T3 Professional Portfolio//Impact Evaluation")</v>
      </c>
    </row>
    <row r="4" spans="2:4" x14ac:dyDescent="0.3">
      <c r="B4" s="1" t="s">
        <v>66</v>
      </c>
      <c r="C4" s="9" t="s">
        <v>643</v>
      </c>
      <c r="D4" s="5" t="str">
        <f>"datafile &lt;- """&amp;SUBSTITUTE(SUBSTITUTE(C4,"\","//"),"////","//")&amp;""""</f>
        <v>datafile &lt;- "//finl404arch//minnwsrv001//Underwriting &amp; Pricing//data//shared//Pricing &amp; Planning//Motor//Jim//Apprenticeship//Assessments//T3 Professional Portfolio//Impact Evaluation//DIRECT_CV_DATA.csv"</v>
      </c>
    </row>
  </sheetData>
  <hyperlinks>
    <hyperlink ref="C4" r:id="rId1" xr:uid="{E1FF71A6-7A7E-4093-BFF6-68BA17297B0F}"/>
    <hyperlink ref="C3" r:id="rId2" xr:uid="{B7084512-1DDF-45C5-98F1-61052714DB11}"/>
  </hyperlinks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B292"/>
  <sheetViews>
    <sheetView workbookViewId="0">
      <pane ySplit="1" topLeftCell="A2" activePane="bottomLeft" state="frozen"/>
      <selection activeCell="D222" sqref="D222"/>
      <selection pane="bottomLeft"/>
    </sheetView>
  </sheetViews>
  <sheetFormatPr defaultRowHeight="14.4" x14ac:dyDescent="0.3"/>
  <cols>
    <col min="1" max="1" width="26.33203125" bestFit="1" customWidth="1"/>
    <col min="2" max="2" width="10.44140625" customWidth="1"/>
  </cols>
  <sheetData>
    <row r="1" spans="1:2" s="1" customFormat="1" x14ac:dyDescent="0.3">
      <c r="A1" t="s">
        <v>61</v>
      </c>
      <c r="B1" t="s">
        <v>62</v>
      </c>
    </row>
    <row r="2" spans="1:2" x14ac:dyDescent="0.3">
      <c r="A2" t="s">
        <v>323</v>
      </c>
      <c r="B2" t="s">
        <v>263</v>
      </c>
    </row>
    <row r="3" spans="1:2" x14ac:dyDescent="0.3">
      <c r="A3" t="s">
        <v>325</v>
      </c>
      <c r="B3" t="s">
        <v>276</v>
      </c>
    </row>
    <row r="4" spans="1:2" x14ac:dyDescent="0.3">
      <c r="A4" t="s">
        <v>328</v>
      </c>
      <c r="B4" t="s">
        <v>276</v>
      </c>
    </row>
    <row r="5" spans="1:2" x14ac:dyDescent="0.3">
      <c r="A5" t="s">
        <v>329</v>
      </c>
      <c r="B5" t="s">
        <v>276</v>
      </c>
    </row>
    <row r="6" spans="1:2" x14ac:dyDescent="0.3">
      <c r="A6" t="s">
        <v>330</v>
      </c>
      <c r="B6" t="s">
        <v>276</v>
      </c>
    </row>
    <row r="7" spans="1:2" x14ac:dyDescent="0.3">
      <c r="A7" t="s">
        <v>331</v>
      </c>
      <c r="B7" t="s">
        <v>276</v>
      </c>
    </row>
    <row r="8" spans="1:2" x14ac:dyDescent="0.3">
      <c r="A8" t="s">
        <v>332</v>
      </c>
      <c r="B8" t="s">
        <v>276</v>
      </c>
    </row>
    <row r="9" spans="1:2" x14ac:dyDescent="0.3">
      <c r="A9" t="s">
        <v>333</v>
      </c>
      <c r="B9" t="s">
        <v>277</v>
      </c>
    </row>
    <row r="10" spans="1:2" x14ac:dyDescent="0.3">
      <c r="A10" t="s">
        <v>334</v>
      </c>
      <c r="B10" t="s">
        <v>277</v>
      </c>
    </row>
    <row r="11" spans="1:2" x14ac:dyDescent="0.3">
      <c r="A11" t="s">
        <v>336</v>
      </c>
      <c r="B11" t="s">
        <v>276</v>
      </c>
    </row>
    <row r="12" spans="1:2" x14ac:dyDescent="0.3">
      <c r="A12" t="s">
        <v>337</v>
      </c>
      <c r="B12" t="s">
        <v>276</v>
      </c>
    </row>
    <row r="13" spans="1:2" x14ac:dyDescent="0.3">
      <c r="A13" t="s">
        <v>338</v>
      </c>
      <c r="B13" t="s">
        <v>276</v>
      </c>
    </row>
    <row r="14" spans="1:2" x14ac:dyDescent="0.3">
      <c r="A14" t="s">
        <v>341</v>
      </c>
      <c r="B14" t="s">
        <v>276</v>
      </c>
    </row>
    <row r="15" spans="1:2" x14ac:dyDescent="0.3">
      <c r="A15" t="s">
        <v>342</v>
      </c>
      <c r="B15" t="s">
        <v>277</v>
      </c>
    </row>
    <row r="16" spans="1:2" x14ac:dyDescent="0.3">
      <c r="A16" t="s">
        <v>269</v>
      </c>
      <c r="B16" t="s">
        <v>276</v>
      </c>
    </row>
    <row r="17" spans="1:2" x14ac:dyDescent="0.3">
      <c r="A17" t="s">
        <v>343</v>
      </c>
      <c r="B17" t="s">
        <v>276</v>
      </c>
    </row>
    <row r="18" spans="1:2" x14ac:dyDescent="0.3">
      <c r="A18" t="s">
        <v>344</v>
      </c>
      <c r="B18" t="s">
        <v>276</v>
      </c>
    </row>
    <row r="19" spans="1:2" x14ac:dyDescent="0.3">
      <c r="A19" t="s">
        <v>345</v>
      </c>
      <c r="B19" t="s">
        <v>277</v>
      </c>
    </row>
    <row r="20" spans="1:2" x14ac:dyDescent="0.3">
      <c r="A20" t="s">
        <v>346</v>
      </c>
      <c r="B20" t="s">
        <v>276</v>
      </c>
    </row>
    <row r="21" spans="1:2" x14ac:dyDescent="0.3">
      <c r="A21" t="s">
        <v>347</v>
      </c>
      <c r="B21" t="s">
        <v>276</v>
      </c>
    </row>
    <row r="22" spans="1:2" x14ac:dyDescent="0.3">
      <c r="A22" t="s">
        <v>348</v>
      </c>
      <c r="B22" t="s">
        <v>277</v>
      </c>
    </row>
    <row r="23" spans="1:2" x14ac:dyDescent="0.3">
      <c r="A23" t="s">
        <v>349</v>
      </c>
      <c r="B23" t="s">
        <v>276</v>
      </c>
    </row>
    <row r="24" spans="1:2" x14ac:dyDescent="0.3">
      <c r="A24" t="s">
        <v>350</v>
      </c>
      <c r="B24" t="s">
        <v>276</v>
      </c>
    </row>
    <row r="25" spans="1:2" x14ac:dyDescent="0.3">
      <c r="A25" t="s">
        <v>351</v>
      </c>
      <c r="B25" t="s">
        <v>276</v>
      </c>
    </row>
    <row r="26" spans="1:2" x14ac:dyDescent="0.3">
      <c r="A26" t="s">
        <v>352</v>
      </c>
      <c r="B26" t="s">
        <v>276</v>
      </c>
    </row>
    <row r="27" spans="1:2" x14ac:dyDescent="0.3">
      <c r="A27" t="s">
        <v>353</v>
      </c>
      <c r="B27" t="s">
        <v>276</v>
      </c>
    </row>
    <row r="28" spans="1:2" x14ac:dyDescent="0.3">
      <c r="A28" t="s">
        <v>354</v>
      </c>
      <c r="B28" t="s">
        <v>276</v>
      </c>
    </row>
    <row r="29" spans="1:2" x14ac:dyDescent="0.3">
      <c r="A29" t="s">
        <v>355</v>
      </c>
      <c r="B29" t="s">
        <v>277</v>
      </c>
    </row>
    <row r="30" spans="1:2" x14ac:dyDescent="0.3">
      <c r="A30" t="s">
        <v>356</v>
      </c>
      <c r="B30" t="s">
        <v>276</v>
      </c>
    </row>
    <row r="31" spans="1:2" x14ac:dyDescent="0.3">
      <c r="A31" t="s">
        <v>357</v>
      </c>
      <c r="B31" t="s">
        <v>276</v>
      </c>
    </row>
    <row r="32" spans="1:2" x14ac:dyDescent="0.3">
      <c r="A32" t="s">
        <v>360</v>
      </c>
      <c r="B32" t="s">
        <v>276</v>
      </c>
    </row>
    <row r="33" spans="1:2" x14ac:dyDescent="0.3">
      <c r="A33" t="s">
        <v>361</v>
      </c>
      <c r="B33" t="s">
        <v>277</v>
      </c>
    </row>
    <row r="34" spans="1:2" x14ac:dyDescent="0.3">
      <c r="A34" t="s">
        <v>362</v>
      </c>
      <c r="B34" t="s">
        <v>276</v>
      </c>
    </row>
    <row r="35" spans="1:2" x14ac:dyDescent="0.3">
      <c r="A35" t="s">
        <v>364</v>
      </c>
      <c r="B35" t="s">
        <v>277</v>
      </c>
    </row>
    <row r="36" spans="1:2" x14ac:dyDescent="0.3">
      <c r="A36" t="s">
        <v>366</v>
      </c>
      <c r="B36" t="s">
        <v>276</v>
      </c>
    </row>
    <row r="37" spans="1:2" x14ac:dyDescent="0.3">
      <c r="A37" t="s">
        <v>368</v>
      </c>
      <c r="B37" t="s">
        <v>277</v>
      </c>
    </row>
    <row r="38" spans="1:2" x14ac:dyDescent="0.3">
      <c r="A38" t="s">
        <v>370</v>
      </c>
      <c r="B38" t="s">
        <v>276</v>
      </c>
    </row>
    <row r="39" spans="1:2" x14ac:dyDescent="0.3">
      <c r="A39" t="s">
        <v>371</v>
      </c>
      <c r="B39" t="s">
        <v>276</v>
      </c>
    </row>
    <row r="40" spans="1:2" x14ac:dyDescent="0.3">
      <c r="A40" t="s">
        <v>372</v>
      </c>
      <c r="B40" t="s">
        <v>277</v>
      </c>
    </row>
    <row r="41" spans="1:2" x14ac:dyDescent="0.3">
      <c r="A41" t="s">
        <v>373</v>
      </c>
      <c r="B41" t="s">
        <v>276</v>
      </c>
    </row>
    <row r="42" spans="1:2" x14ac:dyDescent="0.3">
      <c r="A42" t="s">
        <v>374</v>
      </c>
      <c r="B42" t="s">
        <v>276</v>
      </c>
    </row>
    <row r="43" spans="1:2" x14ac:dyDescent="0.3">
      <c r="A43" t="s">
        <v>375</v>
      </c>
      <c r="B43" t="s">
        <v>276</v>
      </c>
    </row>
    <row r="44" spans="1:2" x14ac:dyDescent="0.3">
      <c r="A44" t="s">
        <v>376</v>
      </c>
      <c r="B44" t="s">
        <v>276</v>
      </c>
    </row>
    <row r="45" spans="1:2" x14ac:dyDescent="0.3">
      <c r="A45" t="s">
        <v>377</v>
      </c>
      <c r="B45" t="s">
        <v>276</v>
      </c>
    </row>
    <row r="46" spans="1:2" x14ac:dyDescent="0.3">
      <c r="A46" t="s">
        <v>378</v>
      </c>
      <c r="B46" t="s">
        <v>276</v>
      </c>
    </row>
    <row r="47" spans="1:2" x14ac:dyDescent="0.3">
      <c r="A47" t="s">
        <v>379</v>
      </c>
      <c r="B47" t="s">
        <v>276</v>
      </c>
    </row>
    <row r="48" spans="1:2" x14ac:dyDescent="0.3">
      <c r="A48" t="s">
        <v>380</v>
      </c>
      <c r="B48" t="s">
        <v>276</v>
      </c>
    </row>
    <row r="49" spans="1:2" x14ac:dyDescent="0.3">
      <c r="A49" t="s">
        <v>381</v>
      </c>
      <c r="B49" t="s">
        <v>276</v>
      </c>
    </row>
    <row r="50" spans="1:2" x14ac:dyDescent="0.3">
      <c r="A50" t="s">
        <v>382</v>
      </c>
      <c r="B50" t="s">
        <v>276</v>
      </c>
    </row>
    <row r="51" spans="1:2" x14ac:dyDescent="0.3">
      <c r="A51" t="s">
        <v>383</v>
      </c>
      <c r="B51" t="s">
        <v>276</v>
      </c>
    </row>
    <row r="52" spans="1:2" x14ac:dyDescent="0.3">
      <c r="A52" t="s">
        <v>384</v>
      </c>
      <c r="B52" t="s">
        <v>276</v>
      </c>
    </row>
    <row r="53" spans="1:2" x14ac:dyDescent="0.3">
      <c r="A53" t="s">
        <v>385</v>
      </c>
      <c r="B53" t="s">
        <v>277</v>
      </c>
    </row>
    <row r="54" spans="1:2" x14ac:dyDescent="0.3">
      <c r="A54" t="s">
        <v>386</v>
      </c>
      <c r="B54" t="s">
        <v>276</v>
      </c>
    </row>
    <row r="55" spans="1:2" x14ac:dyDescent="0.3">
      <c r="A55" t="s">
        <v>387</v>
      </c>
      <c r="B55" t="s">
        <v>277</v>
      </c>
    </row>
    <row r="56" spans="1:2" x14ac:dyDescent="0.3">
      <c r="A56" t="s">
        <v>388</v>
      </c>
      <c r="B56" t="s">
        <v>276</v>
      </c>
    </row>
    <row r="57" spans="1:2" x14ac:dyDescent="0.3">
      <c r="A57" t="s">
        <v>389</v>
      </c>
      <c r="B57" t="s">
        <v>276</v>
      </c>
    </row>
    <row r="58" spans="1:2" x14ac:dyDescent="0.3">
      <c r="A58" t="s">
        <v>390</v>
      </c>
      <c r="B58" t="s">
        <v>276</v>
      </c>
    </row>
    <row r="59" spans="1:2" x14ac:dyDescent="0.3">
      <c r="A59" t="s">
        <v>391</v>
      </c>
      <c r="B59" t="s">
        <v>276</v>
      </c>
    </row>
    <row r="60" spans="1:2" x14ac:dyDescent="0.3">
      <c r="A60" t="s">
        <v>392</v>
      </c>
      <c r="B60" t="s">
        <v>276</v>
      </c>
    </row>
    <row r="61" spans="1:2" x14ac:dyDescent="0.3">
      <c r="A61" t="s">
        <v>393</v>
      </c>
      <c r="B61" t="s">
        <v>276</v>
      </c>
    </row>
    <row r="62" spans="1:2" x14ac:dyDescent="0.3">
      <c r="A62" t="s">
        <v>394</v>
      </c>
      <c r="B62" t="s">
        <v>276</v>
      </c>
    </row>
    <row r="63" spans="1:2" x14ac:dyDescent="0.3">
      <c r="A63" t="s">
        <v>395</v>
      </c>
      <c r="B63" t="s">
        <v>276</v>
      </c>
    </row>
    <row r="64" spans="1:2" x14ac:dyDescent="0.3">
      <c r="A64" t="s">
        <v>396</v>
      </c>
      <c r="B64" t="s">
        <v>276</v>
      </c>
    </row>
    <row r="65" spans="1:2" x14ac:dyDescent="0.3">
      <c r="A65" t="s">
        <v>397</v>
      </c>
      <c r="B65" t="s">
        <v>276</v>
      </c>
    </row>
    <row r="66" spans="1:2" x14ac:dyDescent="0.3">
      <c r="A66" t="s">
        <v>398</v>
      </c>
      <c r="B66" t="s">
        <v>276</v>
      </c>
    </row>
    <row r="67" spans="1:2" x14ac:dyDescent="0.3">
      <c r="A67" t="s">
        <v>399</v>
      </c>
      <c r="B67" t="s">
        <v>276</v>
      </c>
    </row>
    <row r="68" spans="1:2" x14ac:dyDescent="0.3">
      <c r="A68" t="s">
        <v>400</v>
      </c>
      <c r="B68" t="s">
        <v>276</v>
      </c>
    </row>
    <row r="69" spans="1:2" x14ac:dyDescent="0.3">
      <c r="A69" t="s">
        <v>401</v>
      </c>
      <c r="B69" t="s">
        <v>276</v>
      </c>
    </row>
    <row r="70" spans="1:2" x14ac:dyDescent="0.3">
      <c r="A70" t="s">
        <v>402</v>
      </c>
      <c r="B70" t="s">
        <v>276</v>
      </c>
    </row>
    <row r="71" spans="1:2" x14ac:dyDescent="0.3">
      <c r="A71" t="s">
        <v>403</v>
      </c>
      <c r="B71" t="s">
        <v>277</v>
      </c>
    </row>
    <row r="72" spans="1:2" x14ac:dyDescent="0.3">
      <c r="A72" t="s">
        <v>404</v>
      </c>
      <c r="B72" t="s">
        <v>276</v>
      </c>
    </row>
    <row r="73" spans="1:2" x14ac:dyDescent="0.3">
      <c r="A73" t="s">
        <v>405</v>
      </c>
      <c r="B73" t="s">
        <v>277</v>
      </c>
    </row>
    <row r="74" spans="1:2" x14ac:dyDescent="0.3">
      <c r="A74" t="s">
        <v>406</v>
      </c>
      <c r="B74" t="s">
        <v>276</v>
      </c>
    </row>
    <row r="75" spans="1:2" x14ac:dyDescent="0.3">
      <c r="A75" t="s">
        <v>407</v>
      </c>
      <c r="B75" t="s">
        <v>276</v>
      </c>
    </row>
    <row r="76" spans="1:2" x14ac:dyDescent="0.3">
      <c r="A76" t="s">
        <v>408</v>
      </c>
      <c r="B76" t="s">
        <v>276</v>
      </c>
    </row>
    <row r="77" spans="1:2" x14ac:dyDescent="0.3">
      <c r="A77" t="s">
        <v>409</v>
      </c>
      <c r="B77" t="s">
        <v>276</v>
      </c>
    </row>
    <row r="78" spans="1:2" x14ac:dyDescent="0.3">
      <c r="A78" t="s">
        <v>410</v>
      </c>
      <c r="B78" t="s">
        <v>276</v>
      </c>
    </row>
    <row r="79" spans="1:2" x14ac:dyDescent="0.3">
      <c r="A79" t="s">
        <v>411</v>
      </c>
      <c r="B79" t="s">
        <v>276</v>
      </c>
    </row>
    <row r="80" spans="1:2" x14ac:dyDescent="0.3">
      <c r="A80" t="s">
        <v>412</v>
      </c>
      <c r="B80" t="s">
        <v>276</v>
      </c>
    </row>
    <row r="81" spans="1:2" x14ac:dyDescent="0.3">
      <c r="A81" t="s">
        <v>413</v>
      </c>
      <c r="B81" t="s">
        <v>276</v>
      </c>
    </row>
    <row r="82" spans="1:2" x14ac:dyDescent="0.3">
      <c r="A82" t="s">
        <v>414</v>
      </c>
      <c r="B82" t="s">
        <v>276</v>
      </c>
    </row>
    <row r="83" spans="1:2" x14ac:dyDescent="0.3">
      <c r="A83" t="s">
        <v>415</v>
      </c>
      <c r="B83" t="s">
        <v>276</v>
      </c>
    </row>
    <row r="84" spans="1:2" x14ac:dyDescent="0.3">
      <c r="A84" t="s">
        <v>416</v>
      </c>
      <c r="B84" t="s">
        <v>276</v>
      </c>
    </row>
    <row r="85" spans="1:2" x14ac:dyDescent="0.3">
      <c r="A85" t="s">
        <v>417</v>
      </c>
      <c r="B85" t="s">
        <v>276</v>
      </c>
    </row>
    <row r="86" spans="1:2" x14ac:dyDescent="0.3">
      <c r="A86" t="s">
        <v>418</v>
      </c>
      <c r="B86" t="s">
        <v>276</v>
      </c>
    </row>
    <row r="87" spans="1:2" x14ac:dyDescent="0.3">
      <c r="A87" t="s">
        <v>419</v>
      </c>
      <c r="B87" t="s">
        <v>276</v>
      </c>
    </row>
    <row r="88" spans="1:2" x14ac:dyDescent="0.3">
      <c r="A88" t="s">
        <v>420</v>
      </c>
      <c r="B88" t="s">
        <v>276</v>
      </c>
    </row>
    <row r="89" spans="1:2" x14ac:dyDescent="0.3">
      <c r="A89" t="s">
        <v>421</v>
      </c>
      <c r="B89" t="s">
        <v>277</v>
      </c>
    </row>
    <row r="90" spans="1:2" x14ac:dyDescent="0.3">
      <c r="A90" t="s">
        <v>422</v>
      </c>
      <c r="B90" t="s">
        <v>277</v>
      </c>
    </row>
    <row r="91" spans="1:2" x14ac:dyDescent="0.3">
      <c r="A91" t="s">
        <v>423</v>
      </c>
      <c r="B91" t="s">
        <v>277</v>
      </c>
    </row>
    <row r="92" spans="1:2" x14ac:dyDescent="0.3">
      <c r="A92" t="s">
        <v>424</v>
      </c>
      <c r="B92" t="s">
        <v>276</v>
      </c>
    </row>
    <row r="93" spans="1:2" x14ac:dyDescent="0.3">
      <c r="A93" t="s">
        <v>425</v>
      </c>
      <c r="B93" t="s">
        <v>276</v>
      </c>
    </row>
    <row r="94" spans="1:2" x14ac:dyDescent="0.3">
      <c r="A94" t="s">
        <v>426</v>
      </c>
      <c r="B94" t="s">
        <v>276</v>
      </c>
    </row>
    <row r="95" spans="1:2" x14ac:dyDescent="0.3">
      <c r="A95" t="s">
        <v>427</v>
      </c>
      <c r="B95" t="s">
        <v>276</v>
      </c>
    </row>
    <row r="96" spans="1:2" x14ac:dyDescent="0.3">
      <c r="A96" t="s">
        <v>428</v>
      </c>
      <c r="B96" t="s">
        <v>276</v>
      </c>
    </row>
    <row r="97" spans="1:2" x14ac:dyDescent="0.3">
      <c r="A97" t="s">
        <v>429</v>
      </c>
      <c r="B97" t="s">
        <v>276</v>
      </c>
    </row>
    <row r="98" spans="1:2" x14ac:dyDescent="0.3">
      <c r="A98" t="s">
        <v>430</v>
      </c>
      <c r="B98" t="s">
        <v>276</v>
      </c>
    </row>
    <row r="99" spans="1:2" x14ac:dyDescent="0.3">
      <c r="A99" t="s">
        <v>431</v>
      </c>
      <c r="B99" t="s">
        <v>276</v>
      </c>
    </row>
    <row r="100" spans="1:2" x14ac:dyDescent="0.3">
      <c r="A100" t="s">
        <v>432</v>
      </c>
      <c r="B100" t="s">
        <v>276</v>
      </c>
    </row>
    <row r="101" spans="1:2" x14ac:dyDescent="0.3">
      <c r="A101" t="s">
        <v>433</v>
      </c>
      <c r="B101" t="s">
        <v>276</v>
      </c>
    </row>
    <row r="102" spans="1:2" x14ac:dyDescent="0.3">
      <c r="A102" t="s">
        <v>434</v>
      </c>
      <c r="B102" t="s">
        <v>276</v>
      </c>
    </row>
    <row r="103" spans="1:2" x14ac:dyDescent="0.3">
      <c r="A103" t="s">
        <v>435</v>
      </c>
      <c r="B103" t="s">
        <v>276</v>
      </c>
    </row>
    <row r="104" spans="1:2" x14ac:dyDescent="0.3">
      <c r="A104" t="s">
        <v>436</v>
      </c>
      <c r="B104" t="s">
        <v>276</v>
      </c>
    </row>
    <row r="105" spans="1:2" x14ac:dyDescent="0.3">
      <c r="A105" t="s">
        <v>437</v>
      </c>
      <c r="B105" t="s">
        <v>276</v>
      </c>
    </row>
    <row r="106" spans="1:2" x14ac:dyDescent="0.3">
      <c r="A106" t="s">
        <v>438</v>
      </c>
      <c r="B106" t="s">
        <v>276</v>
      </c>
    </row>
    <row r="107" spans="1:2" x14ac:dyDescent="0.3">
      <c r="A107" t="s">
        <v>439</v>
      </c>
      <c r="B107" t="s">
        <v>277</v>
      </c>
    </row>
    <row r="108" spans="1:2" x14ac:dyDescent="0.3">
      <c r="A108" t="s">
        <v>440</v>
      </c>
      <c r="B108" t="s">
        <v>277</v>
      </c>
    </row>
    <row r="109" spans="1:2" x14ac:dyDescent="0.3">
      <c r="A109" t="s">
        <v>441</v>
      </c>
      <c r="B109" t="s">
        <v>277</v>
      </c>
    </row>
    <row r="110" spans="1:2" x14ac:dyDescent="0.3">
      <c r="A110" t="s">
        <v>442</v>
      </c>
      <c r="B110" t="s">
        <v>276</v>
      </c>
    </row>
    <row r="111" spans="1:2" x14ac:dyDescent="0.3">
      <c r="A111" t="s">
        <v>443</v>
      </c>
      <c r="B111" t="s">
        <v>277</v>
      </c>
    </row>
    <row r="112" spans="1:2" x14ac:dyDescent="0.3">
      <c r="A112" t="s">
        <v>444</v>
      </c>
      <c r="B112" t="s">
        <v>277</v>
      </c>
    </row>
    <row r="113" spans="1:2" x14ac:dyDescent="0.3">
      <c r="A113" t="s">
        <v>445</v>
      </c>
      <c r="B113" t="s">
        <v>277</v>
      </c>
    </row>
    <row r="114" spans="1:2" x14ac:dyDescent="0.3">
      <c r="A114" t="s">
        <v>446</v>
      </c>
      <c r="B114" t="s">
        <v>276</v>
      </c>
    </row>
    <row r="115" spans="1:2" x14ac:dyDescent="0.3">
      <c r="A115" t="s">
        <v>448</v>
      </c>
      <c r="B115" t="s">
        <v>276</v>
      </c>
    </row>
    <row r="116" spans="1:2" x14ac:dyDescent="0.3">
      <c r="A116" t="s">
        <v>450</v>
      </c>
      <c r="B116" t="s">
        <v>276</v>
      </c>
    </row>
    <row r="117" spans="1:2" x14ac:dyDescent="0.3">
      <c r="A117" t="s">
        <v>451</v>
      </c>
      <c r="B117" t="s">
        <v>276</v>
      </c>
    </row>
    <row r="118" spans="1:2" x14ac:dyDescent="0.3">
      <c r="A118" t="s">
        <v>452</v>
      </c>
      <c r="B118" t="s">
        <v>276</v>
      </c>
    </row>
    <row r="119" spans="1:2" x14ac:dyDescent="0.3">
      <c r="A119" t="s">
        <v>454</v>
      </c>
      <c r="B119" t="s">
        <v>277</v>
      </c>
    </row>
    <row r="120" spans="1:2" x14ac:dyDescent="0.3">
      <c r="A120" t="s">
        <v>456</v>
      </c>
      <c r="B120" t="s">
        <v>276</v>
      </c>
    </row>
    <row r="121" spans="1:2" x14ac:dyDescent="0.3">
      <c r="A121" t="s">
        <v>457</v>
      </c>
      <c r="B121" t="s">
        <v>276</v>
      </c>
    </row>
    <row r="122" spans="1:2" x14ac:dyDescent="0.3">
      <c r="A122" t="s">
        <v>459</v>
      </c>
      <c r="B122" t="s">
        <v>277</v>
      </c>
    </row>
    <row r="123" spans="1:2" x14ac:dyDescent="0.3">
      <c r="A123" t="s">
        <v>461</v>
      </c>
      <c r="B123" t="s">
        <v>263</v>
      </c>
    </row>
    <row r="124" spans="1:2" x14ac:dyDescent="0.3">
      <c r="A124" t="s">
        <v>463</v>
      </c>
      <c r="B124" t="s">
        <v>277</v>
      </c>
    </row>
    <row r="125" spans="1:2" x14ac:dyDescent="0.3">
      <c r="A125" t="s">
        <v>464</v>
      </c>
      <c r="B125" t="s">
        <v>276</v>
      </c>
    </row>
    <row r="126" spans="1:2" x14ac:dyDescent="0.3">
      <c r="A126" t="s">
        <v>465</v>
      </c>
      <c r="B126" t="s">
        <v>276</v>
      </c>
    </row>
    <row r="127" spans="1:2" x14ac:dyDescent="0.3">
      <c r="A127" t="s">
        <v>311</v>
      </c>
      <c r="B127" t="s">
        <v>276</v>
      </c>
    </row>
    <row r="128" spans="1:2" x14ac:dyDescent="0.3">
      <c r="A128" t="s">
        <v>466</v>
      </c>
      <c r="B128" t="s">
        <v>276</v>
      </c>
    </row>
    <row r="129" spans="1:2" x14ac:dyDescent="0.3">
      <c r="A129" t="s">
        <v>467</v>
      </c>
      <c r="B129" t="s">
        <v>277</v>
      </c>
    </row>
    <row r="130" spans="1:2" x14ac:dyDescent="0.3">
      <c r="A130" t="s">
        <v>468</v>
      </c>
      <c r="B130" t="s">
        <v>276</v>
      </c>
    </row>
    <row r="131" spans="1:2" x14ac:dyDescent="0.3">
      <c r="A131" t="s">
        <v>469</v>
      </c>
      <c r="B131" t="s">
        <v>276</v>
      </c>
    </row>
    <row r="132" spans="1:2" x14ac:dyDescent="0.3">
      <c r="A132" t="s">
        <v>90</v>
      </c>
      <c r="B132" t="s">
        <v>277</v>
      </c>
    </row>
    <row r="133" spans="1:2" x14ac:dyDescent="0.3">
      <c r="A133" t="s">
        <v>187</v>
      </c>
      <c r="B133" t="s">
        <v>277</v>
      </c>
    </row>
    <row r="134" spans="1:2" x14ac:dyDescent="0.3">
      <c r="A134" t="s">
        <v>471</v>
      </c>
      <c r="B134" t="s">
        <v>276</v>
      </c>
    </row>
    <row r="135" spans="1:2" x14ac:dyDescent="0.3">
      <c r="A135" t="s">
        <v>472</v>
      </c>
      <c r="B135" t="s">
        <v>276</v>
      </c>
    </row>
    <row r="136" spans="1:2" x14ac:dyDescent="0.3">
      <c r="A136" t="s">
        <v>473</v>
      </c>
      <c r="B136" t="s">
        <v>276</v>
      </c>
    </row>
    <row r="137" spans="1:2" x14ac:dyDescent="0.3">
      <c r="A137" t="s">
        <v>474</v>
      </c>
      <c r="B137" t="s">
        <v>276</v>
      </c>
    </row>
    <row r="138" spans="1:2" x14ac:dyDescent="0.3">
      <c r="A138" t="s">
        <v>475</v>
      </c>
      <c r="B138" t="s">
        <v>276</v>
      </c>
    </row>
    <row r="139" spans="1:2" x14ac:dyDescent="0.3">
      <c r="A139" t="s">
        <v>476</v>
      </c>
      <c r="B139" t="s">
        <v>276</v>
      </c>
    </row>
    <row r="140" spans="1:2" x14ac:dyDescent="0.3">
      <c r="A140" t="s">
        <v>477</v>
      </c>
      <c r="B140" t="s">
        <v>277</v>
      </c>
    </row>
    <row r="141" spans="1:2" x14ac:dyDescent="0.3">
      <c r="A141" t="s">
        <v>478</v>
      </c>
      <c r="B141" t="s">
        <v>276</v>
      </c>
    </row>
    <row r="142" spans="1:2" x14ac:dyDescent="0.3">
      <c r="A142" t="s">
        <v>479</v>
      </c>
      <c r="B142" t="s">
        <v>276</v>
      </c>
    </row>
    <row r="143" spans="1:2" x14ac:dyDescent="0.3">
      <c r="A143" t="s">
        <v>480</v>
      </c>
      <c r="B143" t="s">
        <v>276</v>
      </c>
    </row>
    <row r="144" spans="1:2" x14ac:dyDescent="0.3">
      <c r="A144" t="s">
        <v>481</v>
      </c>
      <c r="B144" t="s">
        <v>276</v>
      </c>
    </row>
    <row r="145" spans="1:2" x14ac:dyDescent="0.3">
      <c r="A145" t="s">
        <v>482</v>
      </c>
      <c r="B145" t="s">
        <v>276</v>
      </c>
    </row>
    <row r="146" spans="1:2" x14ac:dyDescent="0.3">
      <c r="A146" t="s">
        <v>483</v>
      </c>
      <c r="B146" t="s">
        <v>276</v>
      </c>
    </row>
    <row r="147" spans="1:2" x14ac:dyDescent="0.3">
      <c r="A147" t="s">
        <v>484</v>
      </c>
      <c r="B147" t="s">
        <v>276</v>
      </c>
    </row>
    <row r="148" spans="1:2" x14ac:dyDescent="0.3">
      <c r="A148" t="s">
        <v>485</v>
      </c>
      <c r="B148" t="s">
        <v>276</v>
      </c>
    </row>
    <row r="149" spans="1:2" x14ac:dyDescent="0.3">
      <c r="A149" t="s">
        <v>486</v>
      </c>
      <c r="B149" t="s">
        <v>277</v>
      </c>
    </row>
    <row r="150" spans="1:2" x14ac:dyDescent="0.3">
      <c r="A150" t="s">
        <v>487</v>
      </c>
      <c r="B150" t="s">
        <v>276</v>
      </c>
    </row>
    <row r="151" spans="1:2" x14ac:dyDescent="0.3">
      <c r="A151" t="s">
        <v>488</v>
      </c>
      <c r="B151" t="s">
        <v>276</v>
      </c>
    </row>
    <row r="152" spans="1:2" x14ac:dyDescent="0.3">
      <c r="A152" t="s">
        <v>489</v>
      </c>
      <c r="B152" t="s">
        <v>276</v>
      </c>
    </row>
    <row r="153" spans="1:2" x14ac:dyDescent="0.3">
      <c r="A153" t="s">
        <v>490</v>
      </c>
      <c r="B153" t="s">
        <v>277</v>
      </c>
    </row>
    <row r="154" spans="1:2" x14ac:dyDescent="0.3">
      <c r="A154" t="s">
        <v>491</v>
      </c>
      <c r="B154" t="s">
        <v>276</v>
      </c>
    </row>
    <row r="155" spans="1:2" x14ac:dyDescent="0.3">
      <c r="A155" t="s">
        <v>492</v>
      </c>
      <c r="B155" t="s">
        <v>276</v>
      </c>
    </row>
    <row r="156" spans="1:2" x14ac:dyDescent="0.3">
      <c r="A156" t="s">
        <v>493</v>
      </c>
      <c r="B156" t="s">
        <v>276</v>
      </c>
    </row>
    <row r="157" spans="1:2" x14ac:dyDescent="0.3">
      <c r="A157" t="s">
        <v>494</v>
      </c>
      <c r="B157" t="s">
        <v>276</v>
      </c>
    </row>
    <row r="158" spans="1:2" x14ac:dyDescent="0.3">
      <c r="A158" t="s">
        <v>495</v>
      </c>
      <c r="B158" t="s">
        <v>276</v>
      </c>
    </row>
    <row r="159" spans="1:2" x14ac:dyDescent="0.3">
      <c r="A159" t="s">
        <v>496</v>
      </c>
      <c r="B159" t="s">
        <v>276</v>
      </c>
    </row>
    <row r="160" spans="1:2" x14ac:dyDescent="0.3">
      <c r="A160" t="s">
        <v>497</v>
      </c>
      <c r="B160" t="s">
        <v>276</v>
      </c>
    </row>
    <row r="161" spans="1:2" x14ac:dyDescent="0.3">
      <c r="A161" t="s">
        <v>498</v>
      </c>
      <c r="B161" t="s">
        <v>276</v>
      </c>
    </row>
    <row r="162" spans="1:2" x14ac:dyDescent="0.3">
      <c r="A162" t="s">
        <v>499</v>
      </c>
      <c r="B162" t="s">
        <v>276</v>
      </c>
    </row>
    <row r="163" spans="1:2" x14ac:dyDescent="0.3">
      <c r="A163" t="s">
        <v>500</v>
      </c>
      <c r="B163" t="s">
        <v>276</v>
      </c>
    </row>
    <row r="164" spans="1:2" x14ac:dyDescent="0.3">
      <c r="A164" t="s">
        <v>501</v>
      </c>
      <c r="B164" t="s">
        <v>276</v>
      </c>
    </row>
    <row r="165" spans="1:2" x14ac:dyDescent="0.3">
      <c r="A165" t="s">
        <v>502</v>
      </c>
      <c r="B165" t="s">
        <v>276</v>
      </c>
    </row>
    <row r="166" spans="1:2" x14ac:dyDescent="0.3">
      <c r="A166" t="s">
        <v>503</v>
      </c>
      <c r="B166" t="s">
        <v>276</v>
      </c>
    </row>
    <row r="167" spans="1:2" x14ac:dyDescent="0.3">
      <c r="A167" t="s">
        <v>504</v>
      </c>
      <c r="B167" t="s">
        <v>276</v>
      </c>
    </row>
    <row r="168" spans="1:2" x14ac:dyDescent="0.3">
      <c r="A168" t="s">
        <v>505</v>
      </c>
      <c r="B168" t="s">
        <v>276</v>
      </c>
    </row>
    <row r="169" spans="1:2" x14ac:dyDescent="0.3">
      <c r="A169" t="s">
        <v>506</v>
      </c>
      <c r="B169" t="s">
        <v>276</v>
      </c>
    </row>
    <row r="170" spans="1:2" x14ac:dyDescent="0.3">
      <c r="A170" t="s">
        <v>507</v>
      </c>
      <c r="B170" t="s">
        <v>277</v>
      </c>
    </row>
    <row r="171" spans="1:2" x14ac:dyDescent="0.3">
      <c r="A171" t="s">
        <v>508</v>
      </c>
      <c r="B171" t="s">
        <v>276</v>
      </c>
    </row>
    <row r="172" spans="1:2" x14ac:dyDescent="0.3">
      <c r="A172" t="s">
        <v>509</v>
      </c>
      <c r="B172" t="s">
        <v>276</v>
      </c>
    </row>
    <row r="173" spans="1:2" x14ac:dyDescent="0.3">
      <c r="A173" t="s">
        <v>510</v>
      </c>
      <c r="B173" t="s">
        <v>276</v>
      </c>
    </row>
    <row r="174" spans="1:2" x14ac:dyDescent="0.3">
      <c r="A174" t="s">
        <v>511</v>
      </c>
      <c r="B174" t="s">
        <v>276</v>
      </c>
    </row>
    <row r="175" spans="1:2" x14ac:dyDescent="0.3">
      <c r="A175" t="s">
        <v>512</v>
      </c>
      <c r="B175" t="s">
        <v>277</v>
      </c>
    </row>
    <row r="176" spans="1:2" x14ac:dyDescent="0.3">
      <c r="A176" t="s">
        <v>513</v>
      </c>
      <c r="B176" t="s">
        <v>276</v>
      </c>
    </row>
    <row r="177" spans="1:2" x14ac:dyDescent="0.3">
      <c r="A177" t="s">
        <v>514</v>
      </c>
      <c r="B177" t="s">
        <v>276</v>
      </c>
    </row>
    <row r="178" spans="1:2" x14ac:dyDescent="0.3">
      <c r="A178" t="s">
        <v>515</v>
      </c>
      <c r="B178" t="s">
        <v>276</v>
      </c>
    </row>
    <row r="179" spans="1:2" x14ac:dyDescent="0.3">
      <c r="A179" t="s">
        <v>516</v>
      </c>
      <c r="B179" t="s">
        <v>276</v>
      </c>
    </row>
    <row r="180" spans="1:2" x14ac:dyDescent="0.3">
      <c r="A180" t="s">
        <v>517</v>
      </c>
      <c r="B180" t="s">
        <v>277</v>
      </c>
    </row>
    <row r="181" spans="1:2" x14ac:dyDescent="0.3">
      <c r="A181" t="s">
        <v>518</v>
      </c>
      <c r="B181" t="s">
        <v>276</v>
      </c>
    </row>
    <row r="182" spans="1:2" x14ac:dyDescent="0.3">
      <c r="A182" t="s">
        <v>519</v>
      </c>
      <c r="B182" t="s">
        <v>276</v>
      </c>
    </row>
    <row r="183" spans="1:2" x14ac:dyDescent="0.3">
      <c r="A183" t="s">
        <v>520</v>
      </c>
      <c r="B183" t="s">
        <v>276</v>
      </c>
    </row>
    <row r="184" spans="1:2" x14ac:dyDescent="0.3">
      <c r="A184" t="s">
        <v>521</v>
      </c>
      <c r="B184" t="s">
        <v>276</v>
      </c>
    </row>
    <row r="185" spans="1:2" x14ac:dyDescent="0.3">
      <c r="A185" t="s">
        <v>522</v>
      </c>
      <c r="B185" t="s">
        <v>277</v>
      </c>
    </row>
    <row r="186" spans="1:2" x14ac:dyDescent="0.3">
      <c r="A186" t="s">
        <v>523</v>
      </c>
      <c r="B186" t="s">
        <v>276</v>
      </c>
    </row>
    <row r="187" spans="1:2" x14ac:dyDescent="0.3">
      <c r="A187" t="s">
        <v>524</v>
      </c>
      <c r="B187" t="s">
        <v>276</v>
      </c>
    </row>
    <row r="188" spans="1:2" x14ac:dyDescent="0.3">
      <c r="A188" t="s">
        <v>525</v>
      </c>
      <c r="B188" t="s">
        <v>276</v>
      </c>
    </row>
    <row r="189" spans="1:2" x14ac:dyDescent="0.3">
      <c r="A189" t="s">
        <v>526</v>
      </c>
      <c r="B189" t="s">
        <v>276</v>
      </c>
    </row>
    <row r="190" spans="1:2" x14ac:dyDescent="0.3">
      <c r="A190" t="s">
        <v>527</v>
      </c>
      <c r="B190" t="s">
        <v>277</v>
      </c>
    </row>
    <row r="191" spans="1:2" x14ac:dyDescent="0.3">
      <c r="A191" t="s">
        <v>528</v>
      </c>
      <c r="B191" t="s">
        <v>276</v>
      </c>
    </row>
    <row r="192" spans="1:2" x14ac:dyDescent="0.3">
      <c r="A192" t="s">
        <v>529</v>
      </c>
      <c r="B192" t="s">
        <v>276</v>
      </c>
    </row>
    <row r="193" spans="1:2" x14ac:dyDescent="0.3">
      <c r="A193" t="s">
        <v>530</v>
      </c>
      <c r="B193" t="s">
        <v>276</v>
      </c>
    </row>
    <row r="194" spans="1:2" x14ac:dyDescent="0.3">
      <c r="A194" t="s">
        <v>531</v>
      </c>
      <c r="B194" t="s">
        <v>276</v>
      </c>
    </row>
    <row r="195" spans="1:2" x14ac:dyDescent="0.3">
      <c r="A195" t="s">
        <v>532</v>
      </c>
      <c r="B195" t="s">
        <v>263</v>
      </c>
    </row>
    <row r="196" spans="1:2" x14ac:dyDescent="0.3">
      <c r="A196" t="s">
        <v>534</v>
      </c>
      <c r="B196" t="s">
        <v>276</v>
      </c>
    </row>
    <row r="197" spans="1:2" x14ac:dyDescent="0.3">
      <c r="A197" t="s">
        <v>535</v>
      </c>
      <c r="B197" t="s">
        <v>276</v>
      </c>
    </row>
    <row r="198" spans="1:2" x14ac:dyDescent="0.3">
      <c r="A198" t="s">
        <v>536</v>
      </c>
      <c r="B198" t="s">
        <v>276</v>
      </c>
    </row>
    <row r="199" spans="1:2" x14ac:dyDescent="0.3">
      <c r="A199" t="s">
        <v>537</v>
      </c>
      <c r="B199" t="s">
        <v>276</v>
      </c>
    </row>
    <row r="200" spans="1:2" x14ac:dyDescent="0.3">
      <c r="A200" t="s">
        <v>538</v>
      </c>
      <c r="B200" t="s">
        <v>263</v>
      </c>
    </row>
    <row r="201" spans="1:2" x14ac:dyDescent="0.3">
      <c r="A201" t="s">
        <v>539</v>
      </c>
      <c r="B201" t="s">
        <v>276</v>
      </c>
    </row>
    <row r="202" spans="1:2" x14ac:dyDescent="0.3">
      <c r="A202" t="s">
        <v>540</v>
      </c>
      <c r="B202" t="s">
        <v>276</v>
      </c>
    </row>
    <row r="203" spans="1:2" x14ac:dyDescent="0.3">
      <c r="A203" t="s">
        <v>541</v>
      </c>
      <c r="B203" t="s">
        <v>276</v>
      </c>
    </row>
    <row r="204" spans="1:2" x14ac:dyDescent="0.3">
      <c r="A204" t="s">
        <v>542</v>
      </c>
      <c r="B204" t="s">
        <v>276</v>
      </c>
    </row>
    <row r="205" spans="1:2" x14ac:dyDescent="0.3">
      <c r="A205" t="s">
        <v>543</v>
      </c>
      <c r="B205" t="s">
        <v>263</v>
      </c>
    </row>
    <row r="206" spans="1:2" x14ac:dyDescent="0.3">
      <c r="A206" t="s">
        <v>544</v>
      </c>
      <c r="B206" t="s">
        <v>276</v>
      </c>
    </row>
    <row r="207" spans="1:2" x14ac:dyDescent="0.3">
      <c r="A207" t="s">
        <v>545</v>
      </c>
      <c r="B207" t="s">
        <v>276</v>
      </c>
    </row>
    <row r="208" spans="1:2" x14ac:dyDescent="0.3">
      <c r="A208" t="s">
        <v>546</v>
      </c>
      <c r="B208" t="s">
        <v>276</v>
      </c>
    </row>
    <row r="209" spans="1:2" x14ac:dyDescent="0.3">
      <c r="A209" t="s">
        <v>547</v>
      </c>
      <c r="B209" t="s">
        <v>276</v>
      </c>
    </row>
    <row r="210" spans="1:2" x14ac:dyDescent="0.3">
      <c r="A210" t="s">
        <v>548</v>
      </c>
      <c r="B210" t="s">
        <v>263</v>
      </c>
    </row>
    <row r="211" spans="1:2" x14ac:dyDescent="0.3">
      <c r="A211" t="s">
        <v>549</v>
      </c>
      <c r="B211" t="s">
        <v>276</v>
      </c>
    </row>
    <row r="212" spans="1:2" x14ac:dyDescent="0.3">
      <c r="A212" t="s">
        <v>550</v>
      </c>
      <c r="B212" t="s">
        <v>276</v>
      </c>
    </row>
    <row r="213" spans="1:2" x14ac:dyDescent="0.3">
      <c r="A213" t="s">
        <v>551</v>
      </c>
      <c r="B213" t="s">
        <v>276</v>
      </c>
    </row>
    <row r="214" spans="1:2" x14ac:dyDescent="0.3">
      <c r="A214" t="s">
        <v>552</v>
      </c>
      <c r="B214" t="s">
        <v>276</v>
      </c>
    </row>
    <row r="215" spans="1:2" x14ac:dyDescent="0.3">
      <c r="A215" t="s">
        <v>553</v>
      </c>
      <c r="B215" t="s">
        <v>263</v>
      </c>
    </row>
    <row r="216" spans="1:2" x14ac:dyDescent="0.3">
      <c r="A216" t="s">
        <v>554</v>
      </c>
      <c r="B216" t="s">
        <v>276</v>
      </c>
    </row>
    <row r="217" spans="1:2" x14ac:dyDescent="0.3">
      <c r="A217" t="s">
        <v>555</v>
      </c>
      <c r="B217" t="s">
        <v>276</v>
      </c>
    </row>
    <row r="218" spans="1:2" x14ac:dyDescent="0.3">
      <c r="A218" t="s">
        <v>556</v>
      </c>
      <c r="B218" t="s">
        <v>277</v>
      </c>
    </row>
    <row r="219" spans="1:2" x14ac:dyDescent="0.3">
      <c r="A219" t="s">
        <v>557</v>
      </c>
      <c r="B219" t="s">
        <v>276</v>
      </c>
    </row>
    <row r="220" spans="1:2" x14ac:dyDescent="0.3">
      <c r="A220" t="s">
        <v>558</v>
      </c>
      <c r="B220" t="s">
        <v>277</v>
      </c>
    </row>
    <row r="221" spans="1:2" x14ac:dyDescent="0.3">
      <c r="A221" t="s">
        <v>559</v>
      </c>
      <c r="B221" t="s">
        <v>276</v>
      </c>
    </row>
    <row r="222" spans="1:2" x14ac:dyDescent="0.3">
      <c r="A222" t="s">
        <v>560</v>
      </c>
      <c r="B222" t="s">
        <v>277</v>
      </c>
    </row>
    <row r="223" spans="1:2" x14ac:dyDescent="0.3">
      <c r="A223" t="s">
        <v>561</v>
      </c>
      <c r="B223" t="s">
        <v>276</v>
      </c>
    </row>
    <row r="224" spans="1:2" x14ac:dyDescent="0.3">
      <c r="A224" t="s">
        <v>562</v>
      </c>
      <c r="B224" t="s">
        <v>277</v>
      </c>
    </row>
    <row r="225" spans="1:2" x14ac:dyDescent="0.3">
      <c r="A225" t="s">
        <v>563</v>
      </c>
      <c r="B225" t="s">
        <v>276</v>
      </c>
    </row>
    <row r="226" spans="1:2" x14ac:dyDescent="0.3">
      <c r="A226" t="s">
        <v>564</v>
      </c>
      <c r="B226" t="s">
        <v>277</v>
      </c>
    </row>
    <row r="227" spans="1:2" x14ac:dyDescent="0.3">
      <c r="A227" t="s">
        <v>565</v>
      </c>
      <c r="B227" t="s">
        <v>276</v>
      </c>
    </row>
    <row r="228" spans="1:2" x14ac:dyDescent="0.3">
      <c r="A228" t="s">
        <v>566</v>
      </c>
      <c r="B228" t="s">
        <v>277</v>
      </c>
    </row>
    <row r="229" spans="1:2" x14ac:dyDescent="0.3">
      <c r="A229" t="s">
        <v>567</v>
      </c>
      <c r="B229" t="s">
        <v>276</v>
      </c>
    </row>
    <row r="230" spans="1:2" x14ac:dyDescent="0.3">
      <c r="A230" t="s">
        <v>568</v>
      </c>
      <c r="B230" t="s">
        <v>277</v>
      </c>
    </row>
    <row r="231" spans="1:2" x14ac:dyDescent="0.3">
      <c r="A231" t="s">
        <v>569</v>
      </c>
      <c r="B231" t="s">
        <v>276</v>
      </c>
    </row>
    <row r="232" spans="1:2" x14ac:dyDescent="0.3">
      <c r="A232" t="s">
        <v>570</v>
      </c>
      <c r="B232" t="s">
        <v>277</v>
      </c>
    </row>
    <row r="233" spans="1:2" x14ac:dyDescent="0.3">
      <c r="A233" t="s">
        <v>571</v>
      </c>
      <c r="B233" t="s">
        <v>276</v>
      </c>
    </row>
    <row r="234" spans="1:2" x14ac:dyDescent="0.3">
      <c r="A234" t="s">
        <v>572</v>
      </c>
      <c r="B234" t="s">
        <v>277</v>
      </c>
    </row>
    <row r="235" spans="1:2" x14ac:dyDescent="0.3">
      <c r="A235" t="s">
        <v>573</v>
      </c>
      <c r="B235" t="s">
        <v>277</v>
      </c>
    </row>
    <row r="236" spans="1:2" x14ac:dyDescent="0.3">
      <c r="A236" t="s">
        <v>574</v>
      </c>
      <c r="B236" t="s">
        <v>277</v>
      </c>
    </row>
    <row r="237" spans="1:2" x14ac:dyDescent="0.3">
      <c r="A237" t="s">
        <v>575</v>
      </c>
      <c r="B237" t="s">
        <v>276</v>
      </c>
    </row>
    <row r="238" spans="1:2" x14ac:dyDescent="0.3">
      <c r="A238" t="s">
        <v>576</v>
      </c>
      <c r="B238" t="s">
        <v>277</v>
      </c>
    </row>
    <row r="239" spans="1:2" x14ac:dyDescent="0.3">
      <c r="A239" t="s">
        <v>577</v>
      </c>
      <c r="B239" t="s">
        <v>276</v>
      </c>
    </row>
    <row r="240" spans="1:2" x14ac:dyDescent="0.3">
      <c r="A240" t="s">
        <v>578</v>
      </c>
      <c r="B240" t="s">
        <v>277</v>
      </c>
    </row>
    <row r="241" spans="1:2" x14ac:dyDescent="0.3">
      <c r="A241" t="s">
        <v>579</v>
      </c>
      <c r="B241" t="s">
        <v>276</v>
      </c>
    </row>
    <row r="242" spans="1:2" x14ac:dyDescent="0.3">
      <c r="A242" t="s">
        <v>580</v>
      </c>
      <c r="B242" t="s">
        <v>277</v>
      </c>
    </row>
    <row r="243" spans="1:2" x14ac:dyDescent="0.3">
      <c r="A243" t="s">
        <v>581</v>
      </c>
      <c r="B243" t="s">
        <v>276</v>
      </c>
    </row>
    <row r="244" spans="1:2" x14ac:dyDescent="0.3">
      <c r="A244" t="s">
        <v>582</v>
      </c>
      <c r="B244" t="s">
        <v>277</v>
      </c>
    </row>
    <row r="245" spans="1:2" x14ac:dyDescent="0.3">
      <c r="A245" t="s">
        <v>583</v>
      </c>
      <c r="B245" t="s">
        <v>276</v>
      </c>
    </row>
    <row r="246" spans="1:2" x14ac:dyDescent="0.3">
      <c r="A246" t="s">
        <v>584</v>
      </c>
      <c r="B246" t="s">
        <v>277</v>
      </c>
    </row>
    <row r="247" spans="1:2" x14ac:dyDescent="0.3">
      <c r="A247" t="s">
        <v>585</v>
      </c>
      <c r="B247" t="s">
        <v>276</v>
      </c>
    </row>
    <row r="248" spans="1:2" x14ac:dyDescent="0.3">
      <c r="A248" t="s">
        <v>586</v>
      </c>
      <c r="B248" t="s">
        <v>277</v>
      </c>
    </row>
    <row r="249" spans="1:2" x14ac:dyDescent="0.3">
      <c r="A249" t="s">
        <v>587</v>
      </c>
      <c r="B249" t="s">
        <v>276</v>
      </c>
    </row>
    <row r="250" spans="1:2" x14ac:dyDescent="0.3">
      <c r="A250" t="s">
        <v>588</v>
      </c>
      <c r="B250" t="s">
        <v>277</v>
      </c>
    </row>
    <row r="251" spans="1:2" x14ac:dyDescent="0.3">
      <c r="A251" t="s">
        <v>589</v>
      </c>
      <c r="B251" t="s">
        <v>277</v>
      </c>
    </row>
    <row r="252" spans="1:2" x14ac:dyDescent="0.3">
      <c r="A252" t="s">
        <v>590</v>
      </c>
      <c r="B252" t="s">
        <v>277</v>
      </c>
    </row>
    <row r="253" spans="1:2" x14ac:dyDescent="0.3">
      <c r="A253" t="s">
        <v>591</v>
      </c>
      <c r="B253" t="s">
        <v>276</v>
      </c>
    </row>
    <row r="254" spans="1:2" x14ac:dyDescent="0.3">
      <c r="A254" t="s">
        <v>592</v>
      </c>
      <c r="B254" t="s">
        <v>277</v>
      </c>
    </row>
    <row r="255" spans="1:2" x14ac:dyDescent="0.3">
      <c r="A255" t="s">
        <v>593</v>
      </c>
      <c r="B255" t="s">
        <v>277</v>
      </c>
    </row>
    <row r="256" spans="1:2" x14ac:dyDescent="0.3">
      <c r="A256" t="s">
        <v>594</v>
      </c>
      <c r="B256" t="s">
        <v>277</v>
      </c>
    </row>
    <row r="257" spans="1:2" x14ac:dyDescent="0.3">
      <c r="A257" t="s">
        <v>595</v>
      </c>
      <c r="B257" t="s">
        <v>277</v>
      </c>
    </row>
    <row r="258" spans="1:2" x14ac:dyDescent="0.3">
      <c r="A258" t="s">
        <v>596</v>
      </c>
      <c r="B258" t="s">
        <v>277</v>
      </c>
    </row>
    <row r="259" spans="1:2" x14ac:dyDescent="0.3">
      <c r="A259" t="s">
        <v>597</v>
      </c>
      <c r="B259" t="s">
        <v>263</v>
      </c>
    </row>
    <row r="260" spans="1:2" x14ac:dyDescent="0.3">
      <c r="A260" t="s">
        <v>598</v>
      </c>
      <c r="B260" t="s">
        <v>263</v>
      </c>
    </row>
    <row r="261" spans="1:2" x14ac:dyDescent="0.3">
      <c r="A261" t="s">
        <v>599</v>
      </c>
      <c r="B261" t="s">
        <v>263</v>
      </c>
    </row>
    <row r="262" spans="1:2" x14ac:dyDescent="0.3">
      <c r="A262" t="s">
        <v>601</v>
      </c>
      <c r="B262" t="s">
        <v>263</v>
      </c>
    </row>
    <row r="263" spans="1:2" x14ac:dyDescent="0.3">
      <c r="A263" t="s">
        <v>603</v>
      </c>
      <c r="B263" t="s">
        <v>277</v>
      </c>
    </row>
    <row r="264" spans="1:2" x14ac:dyDescent="0.3">
      <c r="A264" t="s">
        <v>604</v>
      </c>
      <c r="B264" t="s">
        <v>277</v>
      </c>
    </row>
    <row r="265" spans="1:2" x14ac:dyDescent="0.3">
      <c r="A265" t="s">
        <v>605</v>
      </c>
      <c r="B265" t="s">
        <v>276</v>
      </c>
    </row>
    <row r="266" spans="1:2" x14ac:dyDescent="0.3">
      <c r="A266" t="s">
        <v>608</v>
      </c>
      <c r="B266" t="s">
        <v>263</v>
      </c>
    </row>
    <row r="267" spans="1:2" x14ac:dyDescent="0.3">
      <c r="A267" t="s">
        <v>609</v>
      </c>
      <c r="B267" t="s">
        <v>263</v>
      </c>
    </row>
    <row r="268" spans="1:2" x14ac:dyDescent="0.3">
      <c r="A268" t="s">
        <v>610</v>
      </c>
      <c r="B268" t="s">
        <v>263</v>
      </c>
    </row>
    <row r="269" spans="1:2" x14ac:dyDescent="0.3">
      <c r="A269" t="s">
        <v>611</v>
      </c>
      <c r="B269" t="s">
        <v>263</v>
      </c>
    </row>
    <row r="270" spans="1:2" x14ac:dyDescent="0.3">
      <c r="A270" t="s">
        <v>612</v>
      </c>
      <c r="B270" t="s">
        <v>277</v>
      </c>
    </row>
    <row r="271" spans="1:2" x14ac:dyDescent="0.3">
      <c r="A271" t="s">
        <v>613</v>
      </c>
      <c r="B271" t="s">
        <v>277</v>
      </c>
    </row>
    <row r="272" spans="1:2" x14ac:dyDescent="0.3">
      <c r="A272" t="s">
        <v>615</v>
      </c>
      <c r="B272" t="s">
        <v>277</v>
      </c>
    </row>
    <row r="273" spans="1:2" x14ac:dyDescent="0.3">
      <c r="A273" t="s">
        <v>616</v>
      </c>
      <c r="B273" t="s">
        <v>277</v>
      </c>
    </row>
    <row r="274" spans="1:2" x14ac:dyDescent="0.3">
      <c r="A274" t="s">
        <v>617</v>
      </c>
      <c r="B274" t="s">
        <v>276</v>
      </c>
    </row>
    <row r="275" spans="1:2" x14ac:dyDescent="0.3">
      <c r="A275" t="s">
        <v>619</v>
      </c>
      <c r="B275" t="s">
        <v>276</v>
      </c>
    </row>
    <row r="276" spans="1:2" x14ac:dyDescent="0.3">
      <c r="A276" t="s">
        <v>621</v>
      </c>
      <c r="B276" t="s">
        <v>276</v>
      </c>
    </row>
    <row r="277" spans="1:2" x14ac:dyDescent="0.3">
      <c r="A277" t="s">
        <v>1</v>
      </c>
      <c r="B277" t="s">
        <v>276</v>
      </c>
    </row>
    <row r="278" spans="1:2" x14ac:dyDescent="0.3">
      <c r="A278" t="s">
        <v>623</v>
      </c>
      <c r="B278" t="s">
        <v>276</v>
      </c>
    </row>
    <row r="279" spans="1:2" x14ac:dyDescent="0.3">
      <c r="A279" t="s">
        <v>625</v>
      </c>
      <c r="B279" t="s">
        <v>276</v>
      </c>
    </row>
    <row r="280" spans="1:2" x14ac:dyDescent="0.3">
      <c r="A280" t="s">
        <v>627</v>
      </c>
      <c r="B280" t="s">
        <v>276</v>
      </c>
    </row>
    <row r="281" spans="1:2" x14ac:dyDescent="0.3">
      <c r="A281" t="s">
        <v>628</v>
      </c>
      <c r="B281" t="s">
        <v>263</v>
      </c>
    </row>
    <row r="282" spans="1:2" x14ac:dyDescent="0.3">
      <c r="A282" t="s">
        <v>629</v>
      </c>
      <c r="B282" t="s">
        <v>276</v>
      </c>
    </row>
    <row r="283" spans="1:2" x14ac:dyDescent="0.3">
      <c r="A283" t="s">
        <v>632</v>
      </c>
      <c r="B283" t="s">
        <v>276</v>
      </c>
    </row>
    <row r="284" spans="1:2" x14ac:dyDescent="0.3">
      <c r="A284" t="s">
        <v>635</v>
      </c>
      <c r="B284" t="s">
        <v>263</v>
      </c>
    </row>
    <row r="285" spans="1:2" x14ac:dyDescent="0.3">
      <c r="A285" t="s">
        <v>636</v>
      </c>
      <c r="B285" t="s">
        <v>263</v>
      </c>
    </row>
    <row r="286" spans="1:2" x14ac:dyDescent="0.3">
      <c r="A286" t="s">
        <v>256</v>
      </c>
      <c r="B286" t="s">
        <v>263</v>
      </c>
    </row>
    <row r="287" spans="1:2" x14ac:dyDescent="0.3">
      <c r="A287" t="s">
        <v>637</v>
      </c>
      <c r="B287" t="s">
        <v>277</v>
      </c>
    </row>
    <row r="288" spans="1:2" x14ac:dyDescent="0.3">
      <c r="A288" t="s">
        <v>638</v>
      </c>
      <c r="B288" t="s">
        <v>263</v>
      </c>
    </row>
    <row r="289" spans="1:2" x14ac:dyDescent="0.3">
      <c r="A289" t="s">
        <v>639</v>
      </c>
      <c r="B289" t="s">
        <v>263</v>
      </c>
    </row>
    <row r="290" spans="1:2" x14ac:dyDescent="0.3">
      <c r="A290" t="s">
        <v>640</v>
      </c>
      <c r="B290" t="s">
        <v>263</v>
      </c>
    </row>
    <row r="291" spans="1:2" x14ac:dyDescent="0.3">
      <c r="A291" t="s">
        <v>257</v>
      </c>
      <c r="B291" t="s">
        <v>263</v>
      </c>
    </row>
    <row r="292" spans="1:2" x14ac:dyDescent="0.3">
      <c r="A292" t="s">
        <v>641</v>
      </c>
      <c r="B292" t="s">
        <v>263</v>
      </c>
    </row>
  </sheetData>
  <autoFilter ref="A1:B471" xr:uid="{00000000-0009-0000-0000-000003000000}"/>
  <pageMargins left="0.7" right="0.7" top="0.75" bottom="0.75" header="0.3" footer="0.3"/>
  <pageSetup paperSize="9" orientation="portrait" horizontalDpi="300" verticalDpi="300" r:id="rId1"/>
  <headerFooter>
    <oddFooter>&amp;L_x000D_&amp;1#&amp;"Calibri"&amp;11&amp;K000000 Non-Confidential - Anyone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 tint="-0.249977111117893"/>
  </sheetPr>
  <dimension ref="B2:D6"/>
  <sheetViews>
    <sheetView workbookViewId="0">
      <selection activeCell="D5" sqref="D5"/>
    </sheetView>
  </sheetViews>
  <sheetFormatPr defaultRowHeight="14.4" x14ac:dyDescent="0.3"/>
  <cols>
    <col min="2" max="2" width="16.44140625" bestFit="1" customWidth="1"/>
    <col min="3" max="3" width="10.109375" bestFit="1" customWidth="1"/>
    <col min="4" max="4" width="62.109375" style="5" customWidth="1"/>
  </cols>
  <sheetData>
    <row r="2" spans="2:4" x14ac:dyDescent="0.3">
      <c r="B2" s="1" t="s">
        <v>56</v>
      </c>
      <c r="C2" s="2" t="s">
        <v>57</v>
      </c>
    </row>
    <row r="4" spans="2:4" x14ac:dyDescent="0.3">
      <c r="B4" s="1" t="s">
        <v>58</v>
      </c>
      <c r="C4" s="1" t="s">
        <v>59</v>
      </c>
      <c r="D4" s="6" t="s">
        <v>60</v>
      </c>
    </row>
    <row r="5" spans="2:4" x14ac:dyDescent="0.3">
      <c r="B5" s="2"/>
      <c r="C5" s="2"/>
      <c r="D5" s="5" t="str">
        <f>"data_Rem &lt;- data_Rem[which(data_Rem$"&amp;B5&amp;C5&amp;"),]"</f>
        <v>data_Rem &lt;- data_Rem[which(data_Rem$),]</v>
      </c>
    </row>
    <row r="6" spans="2:4" x14ac:dyDescent="0.3">
      <c r="B6" s="2"/>
      <c r="C6" s="2"/>
      <c r="D6" s="5" t="str">
        <f>"data_Rem &lt;- data_Rem[which(data_Rem$"&amp;B6&amp;C6&amp;"),]"</f>
        <v>data_Rem &lt;- data_Rem[which(data_Rem$),]</v>
      </c>
    </row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/>
  </sheetPr>
  <dimension ref="A1:K292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1" max="1" width="26.33203125" bestFit="1" customWidth="1"/>
    <col min="3" max="3" width="3.44140625" customWidth="1"/>
    <col min="6" max="6" width="14" style="4" customWidth="1"/>
    <col min="7" max="7" width="9.109375" style="4"/>
    <col min="8" max="8" width="13.6640625" style="4" bestFit="1" customWidth="1"/>
    <col min="9" max="9" width="11.5546875" style="4" bestFit="1" customWidth="1"/>
    <col min="10" max="10" width="13.5546875" style="4" bestFit="1" customWidth="1"/>
    <col min="12" max="12" width="2.88671875" customWidth="1"/>
    <col min="13" max="14" width="10.6640625" customWidth="1"/>
    <col min="15" max="15" width="2.88671875" customWidth="1"/>
    <col min="16" max="17" width="10.6640625" customWidth="1"/>
    <col min="18" max="18" width="2.88671875" customWidth="1"/>
    <col min="19" max="20" width="10.6640625" customWidth="1"/>
  </cols>
  <sheetData>
    <row r="1" spans="1:11" s="1" customFormat="1" x14ac:dyDescent="0.3">
      <c r="A1" t="s">
        <v>61</v>
      </c>
      <c r="B1" t="s">
        <v>62</v>
      </c>
      <c r="C1" t="s">
        <v>97</v>
      </c>
      <c r="D1" t="s">
        <v>98</v>
      </c>
      <c r="E1" t="s">
        <v>99</v>
      </c>
      <c r="F1" s="3" t="s">
        <v>63</v>
      </c>
      <c r="G1" s="3" t="s">
        <v>64</v>
      </c>
      <c r="H1" s="3" t="s">
        <v>100</v>
      </c>
      <c r="I1" s="3" t="s">
        <v>96</v>
      </c>
      <c r="J1" s="3" t="s">
        <v>110</v>
      </c>
    </row>
    <row r="2" spans="1:11" x14ac:dyDescent="0.3">
      <c r="A2" t="s">
        <v>323</v>
      </c>
      <c r="B2" t="s">
        <v>263</v>
      </c>
      <c r="C2" t="s">
        <v>323</v>
      </c>
      <c r="D2">
        <v>0</v>
      </c>
      <c r="E2">
        <v>0</v>
      </c>
      <c r="F2" s="4" t="str">
        <f>'1a. Original Dataset Format'!B2</f>
        <v>Numeric</v>
      </c>
      <c r="G2" s="4" t="str">
        <f t="shared" ref="G2" si="0">IF(F2="Character",IF(OR(B2="factor",B2="character"),"Fine","ERROR"),IF(F2="Numeric",IF(OR(B2="numeric",B2="integer"),"Fine","ERROR"),IF(F2="Date","Ignore","CHECK")))</f>
        <v>Fine</v>
      </c>
      <c r="H2" s="4" t="str">
        <f t="shared" ref="H2" si="1">IF(G2="error","Numeric",F2)</f>
        <v>Numeric</v>
      </c>
      <c r="I2" s="4" t="s">
        <v>87</v>
      </c>
      <c r="K2" s="4"/>
    </row>
    <row r="3" spans="1:11" x14ac:dyDescent="0.3">
      <c r="A3" t="s">
        <v>325</v>
      </c>
      <c r="B3" t="s">
        <v>276</v>
      </c>
      <c r="C3" t="s">
        <v>325</v>
      </c>
      <c r="D3">
        <v>0</v>
      </c>
      <c r="E3">
        <v>0</v>
      </c>
      <c r="F3" s="4" t="str">
        <f>'1a. Original Dataset Format'!B3</f>
        <v>Character</v>
      </c>
      <c r="G3" s="4" t="str">
        <f t="shared" ref="G3:G35" si="2">IF(F3="Character",IF(OR(B3="factor",B3="character"),"Fine","ERROR"),IF(F3="Numeric",IF(OR(B3="numeric",B3="integer"),"Fine","ERROR"),IF(F3="Date","Ignore","CHECK")))</f>
        <v>Fine</v>
      </c>
      <c r="H3" s="4" t="str">
        <f t="shared" ref="H3:H35" si="3">IF(G3="error","Numeric",F3)</f>
        <v>Character</v>
      </c>
      <c r="J3" s="4" t="s">
        <v>87</v>
      </c>
      <c r="K3" s="4"/>
    </row>
    <row r="4" spans="1:11" x14ac:dyDescent="0.3">
      <c r="A4" t="s">
        <v>328</v>
      </c>
      <c r="B4" t="s">
        <v>276</v>
      </c>
      <c r="C4" t="s">
        <v>328</v>
      </c>
      <c r="D4">
        <v>0</v>
      </c>
      <c r="E4">
        <v>0</v>
      </c>
      <c r="F4" s="4" t="str">
        <f>'1a. Original Dataset Format'!B4</f>
        <v>Date</v>
      </c>
      <c r="G4" s="4" t="str">
        <f t="shared" si="2"/>
        <v>Ignore</v>
      </c>
      <c r="H4" s="4" t="str">
        <f t="shared" si="3"/>
        <v>Date</v>
      </c>
      <c r="I4" s="4" t="s">
        <v>87</v>
      </c>
      <c r="K4" s="4"/>
    </row>
    <row r="5" spans="1:11" x14ac:dyDescent="0.3">
      <c r="A5" t="s">
        <v>329</v>
      </c>
      <c r="B5" t="s">
        <v>276</v>
      </c>
      <c r="C5" t="s">
        <v>329</v>
      </c>
      <c r="D5">
        <v>0</v>
      </c>
      <c r="E5">
        <v>0</v>
      </c>
      <c r="F5" s="4" t="str">
        <f>'1a. Original Dataset Format'!B5</f>
        <v>Date</v>
      </c>
      <c r="G5" s="4" t="str">
        <f t="shared" si="2"/>
        <v>Ignore</v>
      </c>
      <c r="H5" s="4" t="str">
        <f t="shared" si="3"/>
        <v>Date</v>
      </c>
      <c r="I5" s="4" t="s">
        <v>87</v>
      </c>
      <c r="K5" s="4"/>
    </row>
    <row r="6" spans="1:11" x14ac:dyDescent="0.3">
      <c r="A6" t="s">
        <v>330</v>
      </c>
      <c r="B6" t="s">
        <v>276</v>
      </c>
      <c r="C6" t="s">
        <v>330</v>
      </c>
      <c r="D6">
        <v>0</v>
      </c>
      <c r="E6">
        <v>0</v>
      </c>
      <c r="F6" s="4" t="str">
        <f>'1a. Original Dataset Format'!B6</f>
        <v>Date</v>
      </c>
      <c r="G6" s="4" t="str">
        <f t="shared" si="2"/>
        <v>Ignore</v>
      </c>
      <c r="H6" s="4" t="str">
        <f t="shared" si="3"/>
        <v>Date</v>
      </c>
      <c r="I6" s="4" t="s">
        <v>87</v>
      </c>
      <c r="K6" s="4"/>
    </row>
    <row r="7" spans="1:11" x14ac:dyDescent="0.3">
      <c r="A7" t="s">
        <v>331</v>
      </c>
      <c r="B7" t="s">
        <v>276</v>
      </c>
      <c r="C7" t="s">
        <v>331</v>
      </c>
      <c r="D7">
        <v>0</v>
      </c>
      <c r="E7">
        <v>0</v>
      </c>
      <c r="F7" s="4" t="str">
        <f>'1a. Original Dataset Format'!B7</f>
        <v>Date</v>
      </c>
      <c r="G7" s="4" t="str">
        <f t="shared" si="2"/>
        <v>Ignore</v>
      </c>
      <c r="H7" s="4" t="str">
        <f t="shared" si="3"/>
        <v>Date</v>
      </c>
      <c r="I7" s="4" t="s">
        <v>87</v>
      </c>
      <c r="K7" s="4"/>
    </row>
    <row r="8" spans="1:11" x14ac:dyDescent="0.3">
      <c r="A8" t="s">
        <v>332</v>
      </c>
      <c r="B8" t="s">
        <v>276</v>
      </c>
      <c r="C8" t="s">
        <v>332</v>
      </c>
      <c r="D8">
        <v>0</v>
      </c>
      <c r="E8">
        <v>0</v>
      </c>
      <c r="F8" s="4" t="str">
        <f>'1a. Original Dataset Format'!B8</f>
        <v>Character</v>
      </c>
      <c r="G8" s="4" t="str">
        <f t="shared" si="2"/>
        <v>Fine</v>
      </c>
      <c r="H8" s="4" t="str">
        <f t="shared" si="3"/>
        <v>Character</v>
      </c>
      <c r="I8" s="4" t="s">
        <v>87</v>
      </c>
      <c r="K8" s="4"/>
    </row>
    <row r="9" spans="1:11" x14ac:dyDescent="0.3">
      <c r="A9" t="s">
        <v>333</v>
      </c>
      <c r="B9" t="s">
        <v>277</v>
      </c>
      <c r="C9" t="s">
        <v>333</v>
      </c>
      <c r="D9">
        <v>0</v>
      </c>
      <c r="E9">
        <v>0</v>
      </c>
      <c r="F9" s="4" t="str">
        <f>'1a. Original Dataset Format'!B9</f>
        <v>Numeric</v>
      </c>
      <c r="G9" s="4" t="str">
        <f t="shared" si="2"/>
        <v>Fine</v>
      </c>
      <c r="H9" s="4" t="str">
        <f t="shared" si="3"/>
        <v>Numeric</v>
      </c>
      <c r="K9" s="4"/>
    </row>
    <row r="10" spans="1:11" x14ac:dyDescent="0.3">
      <c r="A10" t="s">
        <v>334</v>
      </c>
      <c r="B10" t="s">
        <v>277</v>
      </c>
      <c r="C10" t="s">
        <v>334</v>
      </c>
      <c r="D10">
        <v>0</v>
      </c>
      <c r="E10">
        <v>0</v>
      </c>
      <c r="F10" s="4" t="str">
        <f>'1a. Original Dataset Format'!B10</f>
        <v>Numeric</v>
      </c>
      <c r="G10" s="4" t="str">
        <f t="shared" si="2"/>
        <v>Fine</v>
      </c>
      <c r="H10" s="4" t="str">
        <f t="shared" si="3"/>
        <v>Numeric</v>
      </c>
      <c r="K10" s="4"/>
    </row>
    <row r="11" spans="1:11" x14ac:dyDescent="0.3">
      <c r="A11" t="s">
        <v>336</v>
      </c>
      <c r="B11" t="s">
        <v>276</v>
      </c>
      <c r="C11" t="s">
        <v>336</v>
      </c>
      <c r="D11">
        <v>0</v>
      </c>
      <c r="E11">
        <v>0</v>
      </c>
      <c r="F11" s="4" t="str">
        <f>'1a. Original Dataset Format'!B11</f>
        <v>Character</v>
      </c>
      <c r="G11" s="4" t="str">
        <f t="shared" si="2"/>
        <v>Fine</v>
      </c>
      <c r="H11" s="4" t="str">
        <f t="shared" si="3"/>
        <v>Character</v>
      </c>
      <c r="J11" s="4" t="s">
        <v>87</v>
      </c>
      <c r="K11" s="4"/>
    </row>
    <row r="12" spans="1:11" x14ac:dyDescent="0.3">
      <c r="A12" t="s">
        <v>337</v>
      </c>
      <c r="B12" t="s">
        <v>276</v>
      </c>
      <c r="C12" t="s">
        <v>337</v>
      </c>
      <c r="D12">
        <v>0</v>
      </c>
      <c r="E12">
        <v>0</v>
      </c>
      <c r="F12" s="4" t="str">
        <f>'1a. Original Dataset Format'!B12</f>
        <v>Character</v>
      </c>
      <c r="G12" s="4" t="str">
        <f t="shared" si="2"/>
        <v>Fine</v>
      </c>
      <c r="H12" s="4" t="str">
        <f t="shared" si="3"/>
        <v>Character</v>
      </c>
      <c r="J12" s="4" t="s">
        <v>87</v>
      </c>
      <c r="K12" s="4"/>
    </row>
    <row r="13" spans="1:11" x14ac:dyDescent="0.3">
      <c r="A13" t="s">
        <v>338</v>
      </c>
      <c r="B13" t="s">
        <v>276</v>
      </c>
      <c r="C13" t="s">
        <v>338</v>
      </c>
      <c r="D13">
        <v>0</v>
      </c>
      <c r="E13">
        <v>0</v>
      </c>
      <c r="F13" s="4" t="str">
        <f>'1a. Original Dataset Format'!B13</f>
        <v>Character</v>
      </c>
      <c r="G13" s="4" t="str">
        <f t="shared" si="2"/>
        <v>Fine</v>
      </c>
      <c r="H13" s="4" t="str">
        <f t="shared" si="3"/>
        <v>Character</v>
      </c>
      <c r="I13" s="4" t="s">
        <v>87</v>
      </c>
      <c r="K13" s="4"/>
    </row>
    <row r="14" spans="1:11" x14ac:dyDescent="0.3">
      <c r="A14" t="s">
        <v>341</v>
      </c>
      <c r="B14" t="s">
        <v>276</v>
      </c>
      <c r="C14" t="s">
        <v>341</v>
      </c>
      <c r="D14">
        <v>0</v>
      </c>
      <c r="E14">
        <v>0</v>
      </c>
      <c r="F14" s="4" t="str">
        <f>'1a. Original Dataset Format'!B14</f>
        <v>Character</v>
      </c>
      <c r="G14" s="4" t="str">
        <f t="shared" si="2"/>
        <v>Fine</v>
      </c>
      <c r="H14" s="4" t="str">
        <f t="shared" si="3"/>
        <v>Character</v>
      </c>
      <c r="J14" s="4" t="s">
        <v>87</v>
      </c>
      <c r="K14" s="4"/>
    </row>
    <row r="15" spans="1:11" x14ac:dyDescent="0.3">
      <c r="A15" t="s">
        <v>342</v>
      </c>
      <c r="B15" t="s">
        <v>277</v>
      </c>
      <c r="C15" t="s">
        <v>342</v>
      </c>
      <c r="D15">
        <v>0</v>
      </c>
      <c r="E15">
        <v>0</v>
      </c>
      <c r="F15" s="4" t="str">
        <f>'1a. Original Dataset Format'!B15</f>
        <v>Numeric</v>
      </c>
      <c r="G15" s="4" t="str">
        <f t="shared" si="2"/>
        <v>Fine</v>
      </c>
      <c r="H15" s="4" t="str">
        <f t="shared" si="3"/>
        <v>Numeric</v>
      </c>
      <c r="K15" s="4"/>
    </row>
    <row r="16" spans="1:11" x14ac:dyDescent="0.3">
      <c r="A16" t="s">
        <v>269</v>
      </c>
      <c r="B16" t="s">
        <v>276</v>
      </c>
      <c r="C16" t="s">
        <v>269</v>
      </c>
      <c r="D16">
        <v>0</v>
      </c>
      <c r="E16">
        <v>0</v>
      </c>
      <c r="F16" s="4" t="str">
        <f>'1a. Original Dataset Format'!B16</f>
        <v>Character</v>
      </c>
      <c r="G16" s="4" t="str">
        <f t="shared" si="2"/>
        <v>Fine</v>
      </c>
      <c r="H16" s="4" t="str">
        <f t="shared" si="3"/>
        <v>Character</v>
      </c>
      <c r="I16" s="4" t="s">
        <v>87</v>
      </c>
      <c r="K16" s="4"/>
    </row>
    <row r="17" spans="1:11" x14ac:dyDescent="0.3">
      <c r="A17" t="s">
        <v>343</v>
      </c>
      <c r="B17" t="s">
        <v>276</v>
      </c>
      <c r="C17" t="s">
        <v>343</v>
      </c>
      <c r="D17">
        <v>0</v>
      </c>
      <c r="E17">
        <v>0</v>
      </c>
      <c r="F17" s="4" t="str">
        <f>'1a. Original Dataset Format'!B17</f>
        <v>Character</v>
      </c>
      <c r="G17" s="4" t="str">
        <f t="shared" si="2"/>
        <v>Fine</v>
      </c>
      <c r="H17" s="4" t="str">
        <f t="shared" si="3"/>
        <v>Character</v>
      </c>
      <c r="I17" s="4" t="s">
        <v>87</v>
      </c>
      <c r="K17" s="4"/>
    </row>
    <row r="18" spans="1:11" x14ac:dyDescent="0.3">
      <c r="A18" t="s">
        <v>344</v>
      </c>
      <c r="B18" t="s">
        <v>276</v>
      </c>
      <c r="C18" t="s">
        <v>344</v>
      </c>
      <c r="D18">
        <v>0</v>
      </c>
      <c r="E18">
        <v>0</v>
      </c>
      <c r="F18" s="4" t="str">
        <f>'1a. Original Dataset Format'!B18</f>
        <v>Character</v>
      </c>
      <c r="G18" s="4" t="str">
        <f t="shared" si="2"/>
        <v>Fine</v>
      </c>
      <c r="H18" s="4" t="str">
        <f t="shared" si="3"/>
        <v>Character</v>
      </c>
      <c r="J18" s="4" t="s">
        <v>87</v>
      </c>
      <c r="K18" s="4"/>
    </row>
    <row r="19" spans="1:11" x14ac:dyDescent="0.3">
      <c r="A19" t="s">
        <v>345</v>
      </c>
      <c r="B19" t="s">
        <v>277</v>
      </c>
      <c r="C19" t="s">
        <v>345</v>
      </c>
      <c r="D19">
        <v>0</v>
      </c>
      <c r="E19">
        <v>0</v>
      </c>
      <c r="F19" s="4" t="str">
        <f>'1a. Original Dataset Format'!B19</f>
        <v>Numeric</v>
      </c>
      <c r="G19" s="4" t="str">
        <f t="shared" si="2"/>
        <v>Fine</v>
      </c>
      <c r="H19" s="4" t="str">
        <f t="shared" si="3"/>
        <v>Numeric</v>
      </c>
      <c r="I19" s="4" t="s">
        <v>87</v>
      </c>
      <c r="K19" s="4"/>
    </row>
    <row r="20" spans="1:11" x14ac:dyDescent="0.3">
      <c r="A20" t="s">
        <v>346</v>
      </c>
      <c r="B20" t="s">
        <v>276</v>
      </c>
      <c r="C20" t="s">
        <v>346</v>
      </c>
      <c r="D20">
        <v>0</v>
      </c>
      <c r="E20">
        <v>0</v>
      </c>
      <c r="F20" s="4" t="str">
        <f>'1a. Original Dataset Format'!B20</f>
        <v>Character</v>
      </c>
      <c r="G20" s="4" t="str">
        <f t="shared" si="2"/>
        <v>Fine</v>
      </c>
      <c r="H20" s="4" t="str">
        <f t="shared" si="3"/>
        <v>Character</v>
      </c>
      <c r="I20" s="4" t="s">
        <v>87</v>
      </c>
      <c r="K20" s="4"/>
    </row>
    <row r="21" spans="1:11" x14ac:dyDescent="0.3">
      <c r="A21" t="s">
        <v>347</v>
      </c>
      <c r="B21" t="s">
        <v>276</v>
      </c>
      <c r="C21" t="s">
        <v>347</v>
      </c>
      <c r="D21">
        <v>0</v>
      </c>
      <c r="E21">
        <v>0</v>
      </c>
      <c r="F21" s="4" t="str">
        <f>'1a. Original Dataset Format'!B21</f>
        <v>Character</v>
      </c>
      <c r="G21" s="4" t="str">
        <f t="shared" si="2"/>
        <v>Fine</v>
      </c>
      <c r="H21" s="4" t="str">
        <f t="shared" si="3"/>
        <v>Character</v>
      </c>
      <c r="J21" s="4" t="s">
        <v>87</v>
      </c>
      <c r="K21" s="4"/>
    </row>
    <row r="22" spans="1:11" x14ac:dyDescent="0.3">
      <c r="A22" t="s">
        <v>348</v>
      </c>
      <c r="B22" t="s">
        <v>277</v>
      </c>
      <c r="C22" t="s">
        <v>348</v>
      </c>
      <c r="D22">
        <v>0</v>
      </c>
      <c r="E22">
        <v>0</v>
      </c>
      <c r="F22" s="4" t="str">
        <f>'1a. Original Dataset Format'!B22</f>
        <v>Numeric</v>
      </c>
      <c r="G22" s="4" t="str">
        <f t="shared" si="2"/>
        <v>Fine</v>
      </c>
      <c r="H22" s="4" t="str">
        <f t="shared" si="3"/>
        <v>Numeric</v>
      </c>
      <c r="K22" s="4"/>
    </row>
    <row r="23" spans="1:11" x14ac:dyDescent="0.3">
      <c r="A23" t="s">
        <v>349</v>
      </c>
      <c r="B23" t="s">
        <v>276</v>
      </c>
      <c r="C23" t="s">
        <v>349</v>
      </c>
      <c r="D23">
        <v>0</v>
      </c>
      <c r="E23">
        <v>0</v>
      </c>
      <c r="F23" s="4" t="str">
        <f>'1a. Original Dataset Format'!B23</f>
        <v>Date</v>
      </c>
      <c r="G23" s="4" t="str">
        <f t="shared" si="2"/>
        <v>Ignore</v>
      </c>
      <c r="H23" s="4" t="str">
        <f t="shared" si="3"/>
        <v>Date</v>
      </c>
      <c r="I23" s="4" t="s">
        <v>87</v>
      </c>
      <c r="K23" s="4"/>
    </row>
    <row r="24" spans="1:11" x14ac:dyDescent="0.3">
      <c r="A24" t="s">
        <v>350</v>
      </c>
      <c r="B24" t="s">
        <v>276</v>
      </c>
      <c r="C24" t="s">
        <v>350</v>
      </c>
      <c r="D24">
        <v>0</v>
      </c>
      <c r="E24">
        <v>0</v>
      </c>
      <c r="F24" s="4" t="str">
        <f>'1a. Original Dataset Format'!B24</f>
        <v>Character</v>
      </c>
      <c r="G24" s="4" t="str">
        <f t="shared" si="2"/>
        <v>Fine</v>
      </c>
      <c r="H24" s="4" t="str">
        <f t="shared" si="3"/>
        <v>Character</v>
      </c>
      <c r="I24" s="4" t="s">
        <v>87</v>
      </c>
      <c r="K24" s="4"/>
    </row>
    <row r="25" spans="1:11" x14ac:dyDescent="0.3">
      <c r="A25" t="s">
        <v>351</v>
      </c>
      <c r="B25" t="s">
        <v>276</v>
      </c>
      <c r="C25" t="s">
        <v>351</v>
      </c>
      <c r="D25">
        <v>0</v>
      </c>
      <c r="E25">
        <v>0</v>
      </c>
      <c r="F25" s="4" t="str">
        <f>'1a. Original Dataset Format'!B25</f>
        <v>Character</v>
      </c>
      <c r="G25" s="4" t="str">
        <f t="shared" si="2"/>
        <v>Fine</v>
      </c>
      <c r="H25" s="4" t="str">
        <f t="shared" si="3"/>
        <v>Character</v>
      </c>
      <c r="J25" s="4" t="s">
        <v>87</v>
      </c>
      <c r="K25" s="4"/>
    </row>
    <row r="26" spans="1:11" x14ac:dyDescent="0.3">
      <c r="A26" t="s">
        <v>352</v>
      </c>
      <c r="B26" t="s">
        <v>276</v>
      </c>
      <c r="C26" t="s">
        <v>352</v>
      </c>
      <c r="D26">
        <v>0</v>
      </c>
      <c r="E26">
        <v>0</v>
      </c>
      <c r="F26" s="4" t="str">
        <f>'1a. Original Dataset Format'!B26</f>
        <v>Character</v>
      </c>
      <c r="G26" s="4" t="str">
        <f t="shared" si="2"/>
        <v>Fine</v>
      </c>
      <c r="H26" s="4" t="str">
        <f t="shared" si="3"/>
        <v>Character</v>
      </c>
      <c r="J26" s="4" t="s">
        <v>87</v>
      </c>
      <c r="K26" s="4"/>
    </row>
    <row r="27" spans="1:11" x14ac:dyDescent="0.3">
      <c r="A27" t="s">
        <v>353</v>
      </c>
      <c r="B27" t="s">
        <v>276</v>
      </c>
      <c r="C27" t="s">
        <v>353</v>
      </c>
      <c r="D27">
        <v>0</v>
      </c>
      <c r="E27">
        <v>0</v>
      </c>
      <c r="F27" s="4" t="str">
        <f>'1a. Original Dataset Format'!B27</f>
        <v>Character</v>
      </c>
      <c r="G27" s="4" t="str">
        <f t="shared" si="2"/>
        <v>Fine</v>
      </c>
      <c r="H27" s="4" t="str">
        <f t="shared" si="3"/>
        <v>Character</v>
      </c>
      <c r="I27" s="4" t="s">
        <v>87</v>
      </c>
      <c r="K27" s="4"/>
    </row>
    <row r="28" spans="1:11" x14ac:dyDescent="0.3">
      <c r="A28" t="s">
        <v>354</v>
      </c>
      <c r="B28" t="s">
        <v>276</v>
      </c>
      <c r="C28" t="s">
        <v>354</v>
      </c>
      <c r="D28">
        <v>0</v>
      </c>
      <c r="E28">
        <v>0</v>
      </c>
      <c r="F28" s="4" t="str">
        <f>'1a. Original Dataset Format'!B28</f>
        <v>Date</v>
      </c>
      <c r="G28" s="4" t="str">
        <f t="shared" si="2"/>
        <v>Ignore</v>
      </c>
      <c r="H28" s="4" t="str">
        <f t="shared" si="3"/>
        <v>Date</v>
      </c>
      <c r="I28" s="4" t="s">
        <v>87</v>
      </c>
      <c r="K28" s="4"/>
    </row>
    <row r="29" spans="1:11" x14ac:dyDescent="0.3">
      <c r="A29" t="s">
        <v>355</v>
      </c>
      <c r="B29" t="s">
        <v>277</v>
      </c>
      <c r="C29" t="s">
        <v>355</v>
      </c>
      <c r="D29">
        <v>0</v>
      </c>
      <c r="E29">
        <v>0</v>
      </c>
      <c r="F29" s="4" t="str">
        <f>'1a. Original Dataset Format'!B29</f>
        <v>Numeric</v>
      </c>
      <c r="G29" s="4" t="str">
        <f t="shared" si="2"/>
        <v>Fine</v>
      </c>
      <c r="H29" s="4" t="str">
        <f t="shared" si="3"/>
        <v>Numeric</v>
      </c>
      <c r="I29" s="4" t="s">
        <v>87</v>
      </c>
      <c r="K29" s="4"/>
    </row>
    <row r="30" spans="1:11" x14ac:dyDescent="0.3">
      <c r="A30" t="s">
        <v>356</v>
      </c>
      <c r="B30" t="s">
        <v>276</v>
      </c>
      <c r="C30" t="s">
        <v>356</v>
      </c>
      <c r="D30">
        <v>0</v>
      </c>
      <c r="E30">
        <v>0</v>
      </c>
      <c r="F30" s="4" t="str">
        <f>'1a. Original Dataset Format'!B30</f>
        <v>Character</v>
      </c>
      <c r="G30" s="4" t="str">
        <f t="shared" si="2"/>
        <v>Fine</v>
      </c>
      <c r="H30" s="4" t="str">
        <f t="shared" si="3"/>
        <v>Character</v>
      </c>
      <c r="J30" s="4" t="s">
        <v>87</v>
      </c>
      <c r="K30" s="4"/>
    </row>
    <row r="31" spans="1:11" x14ac:dyDescent="0.3">
      <c r="A31" t="s">
        <v>357</v>
      </c>
      <c r="B31" t="s">
        <v>276</v>
      </c>
      <c r="C31" t="s">
        <v>357</v>
      </c>
      <c r="D31">
        <v>0</v>
      </c>
      <c r="E31">
        <v>0</v>
      </c>
      <c r="F31" s="4" t="str">
        <f>'1a. Original Dataset Format'!B31</f>
        <v>Character</v>
      </c>
      <c r="G31" s="4" t="str">
        <f t="shared" si="2"/>
        <v>Fine</v>
      </c>
      <c r="H31" s="4" t="str">
        <f t="shared" si="3"/>
        <v>Character</v>
      </c>
      <c r="I31" s="4" t="s">
        <v>87</v>
      </c>
      <c r="K31" s="4"/>
    </row>
    <row r="32" spans="1:11" x14ac:dyDescent="0.3">
      <c r="A32" t="s">
        <v>360</v>
      </c>
      <c r="B32" t="s">
        <v>276</v>
      </c>
      <c r="C32" t="s">
        <v>360</v>
      </c>
      <c r="D32">
        <v>0</v>
      </c>
      <c r="E32">
        <v>0</v>
      </c>
      <c r="F32" s="4" t="str">
        <f>'1a. Original Dataset Format'!B32</f>
        <v>Character</v>
      </c>
      <c r="G32" s="4" t="str">
        <f t="shared" si="2"/>
        <v>Fine</v>
      </c>
      <c r="H32" s="4" t="str">
        <f t="shared" si="3"/>
        <v>Character</v>
      </c>
      <c r="I32" s="4" t="s">
        <v>87</v>
      </c>
      <c r="K32" s="4"/>
    </row>
    <row r="33" spans="1:11" x14ac:dyDescent="0.3">
      <c r="A33" t="s">
        <v>361</v>
      </c>
      <c r="B33" t="s">
        <v>277</v>
      </c>
      <c r="C33" t="s">
        <v>361</v>
      </c>
      <c r="D33">
        <v>0</v>
      </c>
      <c r="E33">
        <v>0</v>
      </c>
      <c r="F33" s="4" t="str">
        <f>'1a. Original Dataset Format'!B33</f>
        <v>Numeric</v>
      </c>
      <c r="G33" s="4" t="str">
        <f t="shared" si="2"/>
        <v>Fine</v>
      </c>
      <c r="H33" s="4" t="str">
        <f t="shared" si="3"/>
        <v>Numeric</v>
      </c>
      <c r="I33" s="4" t="s">
        <v>87</v>
      </c>
      <c r="K33" s="4"/>
    </row>
    <row r="34" spans="1:11" x14ac:dyDescent="0.3">
      <c r="A34" t="s">
        <v>362</v>
      </c>
      <c r="B34" t="s">
        <v>276</v>
      </c>
      <c r="C34" t="s">
        <v>362</v>
      </c>
      <c r="D34">
        <v>0</v>
      </c>
      <c r="E34">
        <v>0</v>
      </c>
      <c r="F34" s="4" t="str">
        <f>'1a. Original Dataset Format'!B34</f>
        <v>Character</v>
      </c>
      <c r="G34" s="4" t="str">
        <f t="shared" si="2"/>
        <v>Fine</v>
      </c>
      <c r="H34" s="4" t="str">
        <f t="shared" si="3"/>
        <v>Character</v>
      </c>
      <c r="I34" s="4" t="s">
        <v>87</v>
      </c>
      <c r="K34" s="4"/>
    </row>
    <row r="35" spans="1:11" x14ac:dyDescent="0.3">
      <c r="A35" t="s">
        <v>364</v>
      </c>
      <c r="B35" t="s">
        <v>277</v>
      </c>
      <c r="C35" t="s">
        <v>364</v>
      </c>
      <c r="D35">
        <v>0</v>
      </c>
      <c r="E35">
        <v>0</v>
      </c>
      <c r="F35" s="4" t="str">
        <f>'1a. Original Dataset Format'!B35</f>
        <v>Numeric</v>
      </c>
      <c r="G35" s="4" t="str">
        <f t="shared" si="2"/>
        <v>Fine</v>
      </c>
      <c r="H35" s="4" t="str">
        <f t="shared" si="3"/>
        <v>Numeric</v>
      </c>
      <c r="I35" s="4" t="s">
        <v>87</v>
      </c>
      <c r="K35" s="4"/>
    </row>
    <row r="36" spans="1:11" x14ac:dyDescent="0.3">
      <c r="A36" t="s">
        <v>366</v>
      </c>
      <c r="B36" t="s">
        <v>276</v>
      </c>
      <c r="C36" t="s">
        <v>366</v>
      </c>
      <c r="D36">
        <v>0</v>
      </c>
      <c r="E36">
        <v>0</v>
      </c>
      <c r="F36" s="4" t="str">
        <f>'1a. Original Dataset Format'!B36</f>
        <v>Character</v>
      </c>
      <c r="G36" s="4" t="str">
        <f t="shared" ref="G36" si="4">IF(F36="Character",IF(OR(B36="factor",B36="character"),"Fine","ERROR"),IF(F36="Numeric",IF(OR(B36="numeric",B36="integer"),"Fine","ERROR"),IF(F36="Date","Ignore","CHECK")))</f>
        <v>Fine</v>
      </c>
      <c r="H36" s="4" t="str">
        <f t="shared" ref="H36" si="5">IF(G36="error","Numeric",F36)</f>
        <v>Character</v>
      </c>
      <c r="I36" s="4" t="s">
        <v>87</v>
      </c>
      <c r="K36" s="4"/>
    </row>
    <row r="37" spans="1:11" x14ac:dyDescent="0.3">
      <c r="A37" t="s">
        <v>368</v>
      </c>
      <c r="B37" t="s">
        <v>277</v>
      </c>
      <c r="C37" t="s">
        <v>368</v>
      </c>
      <c r="D37">
        <v>0</v>
      </c>
      <c r="E37">
        <v>0</v>
      </c>
      <c r="F37" s="4" t="str">
        <f>'1a. Original Dataset Format'!B37</f>
        <v>Numeric</v>
      </c>
      <c r="G37" s="4" t="str">
        <f t="shared" ref="G37" si="6">IF(F37="Character",IF(OR(B37="factor",B37="character"),"Fine","ERROR"),IF(F37="Numeric",IF(OR(B37="numeric",B37="integer"),"Fine","ERROR"),IF(F37="Date","Ignore","CHECK")))</f>
        <v>Fine</v>
      </c>
      <c r="H37" s="4" t="str">
        <f t="shared" ref="H37" si="7">IF(G37="error","Numeric",F37)</f>
        <v>Numeric</v>
      </c>
      <c r="I37" s="4" t="s">
        <v>87</v>
      </c>
      <c r="K37" s="4"/>
    </row>
    <row r="38" spans="1:11" x14ac:dyDescent="0.3">
      <c r="A38" t="s">
        <v>370</v>
      </c>
      <c r="B38" t="s">
        <v>276</v>
      </c>
      <c r="C38" t="s">
        <v>370</v>
      </c>
      <c r="D38">
        <v>0</v>
      </c>
      <c r="E38">
        <v>0</v>
      </c>
      <c r="F38" s="4" t="str">
        <f>'1a. Original Dataset Format'!B38</f>
        <v>Character</v>
      </c>
      <c r="G38" s="4" t="str">
        <f t="shared" ref="G38:G101" si="8">IF(F38="Character",IF(OR(B38="factor",B38="character"),"Fine","ERROR"),IF(F38="Numeric",IF(OR(B38="numeric",B38="integer"),"Fine","ERROR"),IF(F38="Date","Ignore","CHECK")))</f>
        <v>Fine</v>
      </c>
      <c r="H38" s="4" t="str">
        <f t="shared" ref="H38:H101" si="9">IF(G38="error","Numeric",F38)</f>
        <v>Character</v>
      </c>
      <c r="I38" s="4" t="s">
        <v>87</v>
      </c>
      <c r="K38" s="4"/>
    </row>
    <row r="39" spans="1:11" x14ac:dyDescent="0.3">
      <c r="A39" t="s">
        <v>371</v>
      </c>
      <c r="B39" t="s">
        <v>276</v>
      </c>
      <c r="C39" t="s">
        <v>371</v>
      </c>
      <c r="D39">
        <v>0</v>
      </c>
      <c r="E39">
        <v>0</v>
      </c>
      <c r="F39" s="4" t="str">
        <f>'1a. Original Dataset Format'!B39</f>
        <v>Character</v>
      </c>
      <c r="G39" s="4" t="str">
        <f t="shared" si="8"/>
        <v>Fine</v>
      </c>
      <c r="H39" s="4" t="str">
        <f t="shared" si="9"/>
        <v>Character</v>
      </c>
      <c r="J39" s="4" t="s">
        <v>87</v>
      </c>
      <c r="K39" s="4"/>
    </row>
    <row r="40" spans="1:11" x14ac:dyDescent="0.3">
      <c r="A40" t="s">
        <v>372</v>
      </c>
      <c r="B40" t="s">
        <v>277</v>
      </c>
      <c r="C40" t="s">
        <v>372</v>
      </c>
      <c r="D40">
        <v>0</v>
      </c>
      <c r="E40">
        <v>0</v>
      </c>
      <c r="F40" s="4" t="str">
        <f>'1a. Original Dataset Format'!B40</f>
        <v>Numeric</v>
      </c>
      <c r="G40" s="4" t="str">
        <f t="shared" si="8"/>
        <v>Fine</v>
      </c>
      <c r="H40" s="4" t="str">
        <f t="shared" si="9"/>
        <v>Numeric</v>
      </c>
      <c r="K40" s="4"/>
    </row>
    <row r="41" spans="1:11" x14ac:dyDescent="0.3">
      <c r="A41" t="s">
        <v>373</v>
      </c>
      <c r="B41" t="s">
        <v>276</v>
      </c>
      <c r="C41" t="s">
        <v>373</v>
      </c>
      <c r="D41">
        <v>0</v>
      </c>
      <c r="E41">
        <v>0</v>
      </c>
      <c r="F41" s="4" t="str">
        <f>'1a. Original Dataset Format'!B41</f>
        <v>Date</v>
      </c>
      <c r="G41" s="4" t="str">
        <f t="shared" si="8"/>
        <v>Ignore</v>
      </c>
      <c r="H41" s="4" t="str">
        <f t="shared" si="9"/>
        <v>Date</v>
      </c>
      <c r="I41" s="4" t="s">
        <v>87</v>
      </c>
      <c r="K41" s="4"/>
    </row>
    <row r="42" spans="1:11" x14ac:dyDescent="0.3">
      <c r="A42" t="s">
        <v>374</v>
      </c>
      <c r="B42" t="s">
        <v>276</v>
      </c>
      <c r="C42" t="s">
        <v>374</v>
      </c>
      <c r="D42">
        <v>0</v>
      </c>
      <c r="E42">
        <v>0</v>
      </c>
      <c r="F42" s="4" t="str">
        <f>'1a. Original Dataset Format'!B42</f>
        <v>Character</v>
      </c>
      <c r="G42" s="4" t="str">
        <f t="shared" si="8"/>
        <v>Fine</v>
      </c>
      <c r="H42" s="4" t="str">
        <f t="shared" si="9"/>
        <v>Character</v>
      </c>
      <c r="I42" s="4" t="s">
        <v>87</v>
      </c>
      <c r="K42" s="4"/>
    </row>
    <row r="43" spans="1:11" x14ac:dyDescent="0.3">
      <c r="A43" t="s">
        <v>375</v>
      </c>
      <c r="B43" t="s">
        <v>276</v>
      </c>
      <c r="C43" t="s">
        <v>375</v>
      </c>
      <c r="D43">
        <v>0</v>
      </c>
      <c r="E43">
        <v>0</v>
      </c>
      <c r="F43" s="4" t="str">
        <f>'1a. Original Dataset Format'!B43</f>
        <v>Character</v>
      </c>
      <c r="G43" s="4" t="str">
        <f t="shared" si="8"/>
        <v>Fine</v>
      </c>
      <c r="H43" s="4" t="str">
        <f t="shared" si="9"/>
        <v>Character</v>
      </c>
      <c r="I43" s="4" t="s">
        <v>87</v>
      </c>
      <c r="K43" s="4"/>
    </row>
    <row r="44" spans="1:11" x14ac:dyDescent="0.3">
      <c r="A44" t="s">
        <v>376</v>
      </c>
      <c r="B44" t="s">
        <v>276</v>
      </c>
      <c r="C44" t="s">
        <v>376</v>
      </c>
      <c r="D44">
        <v>0</v>
      </c>
      <c r="E44">
        <v>0</v>
      </c>
      <c r="F44" s="4" t="str">
        <f>'1a. Original Dataset Format'!B44</f>
        <v>Character</v>
      </c>
      <c r="G44" s="4" t="str">
        <f t="shared" si="8"/>
        <v>Fine</v>
      </c>
      <c r="H44" s="4" t="str">
        <f t="shared" si="9"/>
        <v>Character</v>
      </c>
      <c r="I44" s="4" t="s">
        <v>87</v>
      </c>
      <c r="K44" s="4"/>
    </row>
    <row r="45" spans="1:11" x14ac:dyDescent="0.3">
      <c r="A45" t="s">
        <v>377</v>
      </c>
      <c r="B45" t="s">
        <v>276</v>
      </c>
      <c r="C45" t="s">
        <v>377</v>
      </c>
      <c r="D45">
        <v>0</v>
      </c>
      <c r="E45">
        <v>0</v>
      </c>
      <c r="F45" s="4" t="str">
        <f>'1a. Original Dataset Format'!B45</f>
        <v>Character</v>
      </c>
      <c r="G45" s="4" t="str">
        <f t="shared" si="8"/>
        <v>Fine</v>
      </c>
      <c r="H45" s="4" t="str">
        <f t="shared" si="9"/>
        <v>Character</v>
      </c>
      <c r="I45" s="4" t="s">
        <v>87</v>
      </c>
      <c r="K45" s="4"/>
    </row>
    <row r="46" spans="1:11" x14ac:dyDescent="0.3">
      <c r="A46" t="s">
        <v>378</v>
      </c>
      <c r="B46" t="s">
        <v>276</v>
      </c>
      <c r="C46" t="s">
        <v>378</v>
      </c>
      <c r="D46">
        <v>0</v>
      </c>
      <c r="E46">
        <v>0</v>
      </c>
      <c r="F46" s="4" t="str">
        <f>'1a. Original Dataset Format'!B46</f>
        <v>Date</v>
      </c>
      <c r="G46" s="4" t="str">
        <f t="shared" si="8"/>
        <v>Ignore</v>
      </c>
      <c r="H46" s="4" t="str">
        <f t="shared" si="9"/>
        <v>Date</v>
      </c>
      <c r="I46" s="4" t="s">
        <v>87</v>
      </c>
      <c r="K46" s="4"/>
    </row>
    <row r="47" spans="1:11" x14ac:dyDescent="0.3">
      <c r="A47" t="s">
        <v>379</v>
      </c>
      <c r="B47" t="s">
        <v>277</v>
      </c>
      <c r="C47" t="s">
        <v>379</v>
      </c>
      <c r="D47">
        <v>0</v>
      </c>
      <c r="E47">
        <v>0</v>
      </c>
      <c r="F47" s="4" t="str">
        <f>'1a. Original Dataset Format'!B47</f>
        <v>Numeric</v>
      </c>
      <c r="G47" s="4" t="str">
        <f t="shared" si="8"/>
        <v>Fine</v>
      </c>
      <c r="H47" s="4" t="str">
        <f t="shared" si="9"/>
        <v>Numeric</v>
      </c>
      <c r="I47" s="4" t="s">
        <v>87</v>
      </c>
      <c r="K47" s="4"/>
    </row>
    <row r="48" spans="1:11" x14ac:dyDescent="0.3">
      <c r="A48" t="s">
        <v>380</v>
      </c>
      <c r="B48" t="s">
        <v>276</v>
      </c>
      <c r="C48" t="s">
        <v>380</v>
      </c>
      <c r="D48">
        <v>0</v>
      </c>
      <c r="E48">
        <v>0</v>
      </c>
      <c r="F48" s="4" t="str">
        <f>'1a. Original Dataset Format'!B48</f>
        <v>Character</v>
      </c>
      <c r="G48" s="4" t="str">
        <f t="shared" si="8"/>
        <v>Fine</v>
      </c>
      <c r="H48" s="4" t="str">
        <f t="shared" si="9"/>
        <v>Character</v>
      </c>
      <c r="J48" s="4" t="s">
        <v>87</v>
      </c>
      <c r="K48" s="4"/>
    </row>
    <row r="49" spans="1:11" x14ac:dyDescent="0.3">
      <c r="A49" t="s">
        <v>381</v>
      </c>
      <c r="B49" t="s">
        <v>276</v>
      </c>
      <c r="C49" t="s">
        <v>381</v>
      </c>
      <c r="D49">
        <v>0</v>
      </c>
      <c r="E49">
        <v>0</v>
      </c>
      <c r="F49" s="4" t="str">
        <f>'1a. Original Dataset Format'!B49</f>
        <v>Character</v>
      </c>
      <c r="G49" s="4" t="str">
        <f t="shared" si="8"/>
        <v>Fine</v>
      </c>
      <c r="H49" s="4" t="str">
        <f t="shared" si="9"/>
        <v>Character</v>
      </c>
      <c r="I49" s="4" t="s">
        <v>87</v>
      </c>
      <c r="K49" s="4"/>
    </row>
    <row r="50" spans="1:11" x14ac:dyDescent="0.3">
      <c r="A50" t="s">
        <v>382</v>
      </c>
      <c r="B50" t="s">
        <v>276</v>
      </c>
      <c r="C50" t="s">
        <v>382</v>
      </c>
      <c r="D50">
        <v>0</v>
      </c>
      <c r="E50">
        <v>0</v>
      </c>
      <c r="F50" s="4" t="str">
        <f>'1a. Original Dataset Format'!B50</f>
        <v>Character</v>
      </c>
      <c r="G50" s="4" t="str">
        <f t="shared" si="8"/>
        <v>Fine</v>
      </c>
      <c r="H50" s="4" t="str">
        <f t="shared" si="9"/>
        <v>Character</v>
      </c>
      <c r="I50" s="4" t="s">
        <v>87</v>
      </c>
      <c r="K50" s="4"/>
    </row>
    <row r="51" spans="1:11" x14ac:dyDescent="0.3">
      <c r="A51" t="s">
        <v>383</v>
      </c>
      <c r="B51" t="s">
        <v>276</v>
      </c>
      <c r="C51" t="s">
        <v>383</v>
      </c>
      <c r="D51">
        <v>0</v>
      </c>
      <c r="E51">
        <v>0</v>
      </c>
      <c r="F51" s="4" t="str">
        <f>'1a. Original Dataset Format'!B51</f>
        <v>Character</v>
      </c>
      <c r="G51" s="4" t="str">
        <f t="shared" si="8"/>
        <v>Fine</v>
      </c>
      <c r="H51" s="4" t="str">
        <f t="shared" si="9"/>
        <v>Character</v>
      </c>
      <c r="I51" s="4" t="s">
        <v>87</v>
      </c>
      <c r="K51" s="4"/>
    </row>
    <row r="52" spans="1:11" x14ac:dyDescent="0.3">
      <c r="A52" t="s">
        <v>384</v>
      </c>
      <c r="B52" t="s">
        <v>276</v>
      </c>
      <c r="C52" t="s">
        <v>384</v>
      </c>
      <c r="D52">
        <v>0</v>
      </c>
      <c r="E52">
        <v>0</v>
      </c>
      <c r="F52" s="4" t="str">
        <f>'1a. Original Dataset Format'!B52</f>
        <v>Character</v>
      </c>
      <c r="G52" s="4" t="str">
        <f t="shared" si="8"/>
        <v>Fine</v>
      </c>
      <c r="H52" s="4" t="str">
        <f t="shared" si="9"/>
        <v>Character</v>
      </c>
      <c r="I52" s="4" t="s">
        <v>87</v>
      </c>
      <c r="K52" s="4"/>
    </row>
    <row r="53" spans="1:11" x14ac:dyDescent="0.3">
      <c r="A53" t="s">
        <v>385</v>
      </c>
      <c r="B53" t="s">
        <v>276</v>
      </c>
      <c r="C53" t="s">
        <v>385</v>
      </c>
      <c r="D53">
        <v>0</v>
      </c>
      <c r="E53">
        <v>0</v>
      </c>
      <c r="F53" s="4" t="str">
        <f>'1a. Original Dataset Format'!B53</f>
        <v>Character</v>
      </c>
      <c r="G53" s="4" t="str">
        <f t="shared" si="8"/>
        <v>Fine</v>
      </c>
      <c r="H53" s="4" t="str">
        <f t="shared" si="9"/>
        <v>Character</v>
      </c>
      <c r="I53" s="4" t="s">
        <v>87</v>
      </c>
      <c r="K53" s="4"/>
    </row>
    <row r="54" spans="1:11" x14ac:dyDescent="0.3">
      <c r="A54" t="s">
        <v>386</v>
      </c>
      <c r="B54" t="s">
        <v>276</v>
      </c>
      <c r="C54" t="s">
        <v>386</v>
      </c>
      <c r="D54">
        <v>0</v>
      </c>
      <c r="E54">
        <v>0</v>
      </c>
      <c r="F54" s="4" t="str">
        <f>'1a. Original Dataset Format'!B54</f>
        <v>Character</v>
      </c>
      <c r="G54" s="4" t="str">
        <f t="shared" si="8"/>
        <v>Fine</v>
      </c>
      <c r="H54" s="4" t="str">
        <f t="shared" si="9"/>
        <v>Character</v>
      </c>
      <c r="I54" s="4" t="s">
        <v>87</v>
      </c>
      <c r="K54" s="4"/>
    </row>
    <row r="55" spans="1:11" x14ac:dyDescent="0.3">
      <c r="A55" t="s">
        <v>387</v>
      </c>
      <c r="B55" t="s">
        <v>276</v>
      </c>
      <c r="C55" t="s">
        <v>387</v>
      </c>
      <c r="D55">
        <v>0</v>
      </c>
      <c r="E55">
        <v>0</v>
      </c>
      <c r="F55" s="4" t="str">
        <f>'1a. Original Dataset Format'!B55</f>
        <v>Character</v>
      </c>
      <c r="G55" s="4" t="str">
        <f t="shared" si="8"/>
        <v>Fine</v>
      </c>
      <c r="H55" s="4" t="str">
        <f t="shared" si="9"/>
        <v>Character</v>
      </c>
      <c r="I55" s="4" t="s">
        <v>87</v>
      </c>
      <c r="K55" s="4"/>
    </row>
    <row r="56" spans="1:11" x14ac:dyDescent="0.3">
      <c r="A56" t="s">
        <v>388</v>
      </c>
      <c r="B56" t="s">
        <v>276</v>
      </c>
      <c r="C56" t="s">
        <v>388</v>
      </c>
      <c r="D56">
        <v>0</v>
      </c>
      <c r="E56">
        <v>0</v>
      </c>
      <c r="F56" s="4" t="str">
        <f>'1a. Original Dataset Format'!B56</f>
        <v>Character</v>
      </c>
      <c r="G56" s="4" t="str">
        <f t="shared" si="8"/>
        <v>Fine</v>
      </c>
      <c r="H56" s="4" t="str">
        <f t="shared" si="9"/>
        <v>Character</v>
      </c>
      <c r="I56" s="4" t="s">
        <v>87</v>
      </c>
      <c r="K56" s="4"/>
    </row>
    <row r="57" spans="1:11" x14ac:dyDescent="0.3">
      <c r="A57" t="s">
        <v>389</v>
      </c>
      <c r="B57" t="s">
        <v>276</v>
      </c>
      <c r="C57" t="s">
        <v>389</v>
      </c>
      <c r="D57">
        <v>0</v>
      </c>
      <c r="E57">
        <v>0</v>
      </c>
      <c r="F57" s="4" t="str">
        <f>'1a. Original Dataset Format'!B57</f>
        <v>Character</v>
      </c>
      <c r="G57" s="4" t="str">
        <f t="shared" si="8"/>
        <v>Fine</v>
      </c>
      <c r="H57" s="4" t="str">
        <f t="shared" si="9"/>
        <v>Character</v>
      </c>
      <c r="J57" s="4" t="s">
        <v>87</v>
      </c>
      <c r="K57" s="4"/>
    </row>
    <row r="58" spans="1:11" x14ac:dyDescent="0.3">
      <c r="A58" t="s">
        <v>390</v>
      </c>
      <c r="B58" t="s">
        <v>277</v>
      </c>
      <c r="C58" t="s">
        <v>390</v>
      </c>
      <c r="D58">
        <v>0</v>
      </c>
      <c r="E58">
        <v>0</v>
      </c>
      <c r="F58" s="4" t="str">
        <f>'1a. Original Dataset Format'!B58</f>
        <v>Numeric</v>
      </c>
      <c r="G58" s="4" t="str">
        <f t="shared" si="8"/>
        <v>Fine</v>
      </c>
      <c r="H58" s="4" t="str">
        <f t="shared" si="9"/>
        <v>Numeric</v>
      </c>
      <c r="K58" s="4"/>
    </row>
    <row r="59" spans="1:11" x14ac:dyDescent="0.3">
      <c r="A59" t="s">
        <v>391</v>
      </c>
      <c r="B59" t="s">
        <v>276</v>
      </c>
      <c r="C59" t="s">
        <v>391</v>
      </c>
      <c r="D59">
        <v>0</v>
      </c>
      <c r="E59">
        <v>0</v>
      </c>
      <c r="F59" s="4" t="str">
        <f>'1a. Original Dataset Format'!B59</f>
        <v>Date</v>
      </c>
      <c r="G59" s="4" t="str">
        <f t="shared" si="8"/>
        <v>Ignore</v>
      </c>
      <c r="H59" s="4" t="str">
        <f t="shared" si="9"/>
        <v>Date</v>
      </c>
      <c r="I59" s="4" t="s">
        <v>87</v>
      </c>
      <c r="K59" s="4"/>
    </row>
    <row r="60" spans="1:11" x14ac:dyDescent="0.3">
      <c r="A60" t="s">
        <v>392</v>
      </c>
      <c r="B60" t="s">
        <v>276</v>
      </c>
      <c r="C60" t="s">
        <v>392</v>
      </c>
      <c r="D60">
        <v>0</v>
      </c>
      <c r="E60">
        <v>0</v>
      </c>
      <c r="F60" s="4" t="str">
        <f>'1a. Original Dataset Format'!B60</f>
        <v>Character</v>
      </c>
      <c r="G60" s="4" t="str">
        <f t="shared" si="8"/>
        <v>Fine</v>
      </c>
      <c r="H60" s="4" t="str">
        <f t="shared" si="9"/>
        <v>Character</v>
      </c>
      <c r="I60" s="4" t="s">
        <v>87</v>
      </c>
      <c r="K60" s="4"/>
    </row>
    <row r="61" spans="1:11" x14ac:dyDescent="0.3">
      <c r="A61" t="s">
        <v>393</v>
      </c>
      <c r="B61" t="s">
        <v>276</v>
      </c>
      <c r="C61" t="s">
        <v>393</v>
      </c>
      <c r="D61">
        <v>0</v>
      </c>
      <c r="E61">
        <v>0</v>
      </c>
      <c r="F61" s="4" t="str">
        <f>'1a. Original Dataset Format'!B61</f>
        <v>Character</v>
      </c>
      <c r="G61" s="4" t="str">
        <f t="shared" si="8"/>
        <v>Fine</v>
      </c>
      <c r="H61" s="4" t="str">
        <f t="shared" si="9"/>
        <v>Character</v>
      </c>
      <c r="I61" s="4" t="s">
        <v>87</v>
      </c>
      <c r="K61" s="4"/>
    </row>
    <row r="62" spans="1:11" x14ac:dyDescent="0.3">
      <c r="A62" t="s">
        <v>394</v>
      </c>
      <c r="B62" t="s">
        <v>276</v>
      </c>
      <c r="C62" t="s">
        <v>394</v>
      </c>
      <c r="D62">
        <v>0</v>
      </c>
      <c r="E62">
        <v>0</v>
      </c>
      <c r="F62" s="4" t="str">
        <f>'1a. Original Dataset Format'!B62</f>
        <v>Character</v>
      </c>
      <c r="G62" s="4" t="str">
        <f t="shared" si="8"/>
        <v>Fine</v>
      </c>
      <c r="H62" s="4" t="str">
        <f t="shared" si="9"/>
        <v>Character</v>
      </c>
      <c r="I62" s="4" t="s">
        <v>87</v>
      </c>
      <c r="K62" s="4"/>
    </row>
    <row r="63" spans="1:11" x14ac:dyDescent="0.3">
      <c r="A63" t="s">
        <v>395</v>
      </c>
      <c r="B63" t="s">
        <v>276</v>
      </c>
      <c r="C63" t="s">
        <v>395</v>
      </c>
      <c r="D63">
        <v>0</v>
      </c>
      <c r="E63">
        <v>0</v>
      </c>
      <c r="F63" s="4" t="str">
        <f>'1a. Original Dataset Format'!B63</f>
        <v>Character</v>
      </c>
      <c r="G63" s="4" t="str">
        <f t="shared" si="8"/>
        <v>Fine</v>
      </c>
      <c r="H63" s="4" t="str">
        <f t="shared" si="9"/>
        <v>Character</v>
      </c>
      <c r="I63" s="4" t="s">
        <v>87</v>
      </c>
      <c r="K63" s="4"/>
    </row>
    <row r="64" spans="1:11" x14ac:dyDescent="0.3">
      <c r="A64" t="s">
        <v>396</v>
      </c>
      <c r="B64" t="s">
        <v>276</v>
      </c>
      <c r="C64" t="s">
        <v>396</v>
      </c>
      <c r="D64">
        <v>0</v>
      </c>
      <c r="E64">
        <v>0</v>
      </c>
      <c r="F64" s="4" t="str">
        <f>'1a. Original Dataset Format'!B64</f>
        <v>Date</v>
      </c>
      <c r="G64" s="4" t="str">
        <f t="shared" si="8"/>
        <v>Ignore</v>
      </c>
      <c r="H64" s="4" t="str">
        <f t="shared" si="9"/>
        <v>Date</v>
      </c>
      <c r="I64" s="4" t="s">
        <v>87</v>
      </c>
      <c r="K64" s="4"/>
    </row>
    <row r="65" spans="1:11" x14ac:dyDescent="0.3">
      <c r="A65" t="s">
        <v>397</v>
      </c>
      <c r="B65" t="s">
        <v>277</v>
      </c>
      <c r="C65" t="s">
        <v>397</v>
      </c>
      <c r="D65">
        <v>0</v>
      </c>
      <c r="E65">
        <v>0</v>
      </c>
      <c r="F65" s="4" t="str">
        <f>'1a. Original Dataset Format'!B65</f>
        <v>Numeric</v>
      </c>
      <c r="G65" s="4" t="str">
        <f t="shared" si="8"/>
        <v>Fine</v>
      </c>
      <c r="H65" s="4" t="str">
        <f t="shared" si="9"/>
        <v>Numeric</v>
      </c>
      <c r="I65" s="4" t="s">
        <v>87</v>
      </c>
      <c r="K65" s="4"/>
    </row>
    <row r="66" spans="1:11" x14ac:dyDescent="0.3">
      <c r="A66" t="s">
        <v>398</v>
      </c>
      <c r="B66" t="s">
        <v>276</v>
      </c>
      <c r="C66" t="s">
        <v>398</v>
      </c>
      <c r="D66">
        <v>0</v>
      </c>
      <c r="E66">
        <v>0</v>
      </c>
      <c r="F66" s="4" t="str">
        <f>'1a. Original Dataset Format'!B66</f>
        <v>Character</v>
      </c>
      <c r="G66" s="4" t="str">
        <f t="shared" si="8"/>
        <v>Fine</v>
      </c>
      <c r="H66" s="4" t="str">
        <f t="shared" si="9"/>
        <v>Character</v>
      </c>
      <c r="J66" s="4" t="s">
        <v>87</v>
      </c>
      <c r="K66" s="4"/>
    </row>
    <row r="67" spans="1:11" x14ac:dyDescent="0.3">
      <c r="A67" t="s">
        <v>399</v>
      </c>
      <c r="B67" t="s">
        <v>276</v>
      </c>
      <c r="C67" t="s">
        <v>399</v>
      </c>
      <c r="D67">
        <v>0</v>
      </c>
      <c r="E67">
        <v>0</v>
      </c>
      <c r="F67" s="4" t="str">
        <f>'1a. Original Dataset Format'!B67</f>
        <v>Character</v>
      </c>
      <c r="G67" s="4" t="str">
        <f t="shared" si="8"/>
        <v>Fine</v>
      </c>
      <c r="H67" s="4" t="str">
        <f t="shared" si="9"/>
        <v>Character</v>
      </c>
      <c r="I67" s="4" t="s">
        <v>87</v>
      </c>
      <c r="K67" s="4"/>
    </row>
    <row r="68" spans="1:11" x14ac:dyDescent="0.3">
      <c r="A68" t="s">
        <v>400</v>
      </c>
      <c r="B68" t="s">
        <v>276</v>
      </c>
      <c r="C68" t="s">
        <v>400</v>
      </c>
      <c r="D68">
        <v>0</v>
      </c>
      <c r="E68">
        <v>0</v>
      </c>
      <c r="F68" s="4" t="str">
        <f>'1a. Original Dataset Format'!B68</f>
        <v>Character</v>
      </c>
      <c r="G68" s="4" t="str">
        <f t="shared" si="8"/>
        <v>Fine</v>
      </c>
      <c r="H68" s="4" t="str">
        <f t="shared" si="9"/>
        <v>Character</v>
      </c>
      <c r="I68" s="4" t="s">
        <v>87</v>
      </c>
      <c r="K68" s="4"/>
    </row>
    <row r="69" spans="1:11" x14ac:dyDescent="0.3">
      <c r="A69" t="s">
        <v>401</v>
      </c>
      <c r="B69" t="s">
        <v>276</v>
      </c>
      <c r="C69" t="s">
        <v>401</v>
      </c>
      <c r="D69">
        <v>0</v>
      </c>
      <c r="E69">
        <v>0</v>
      </c>
      <c r="F69" s="4" t="str">
        <f>'1a. Original Dataset Format'!B69</f>
        <v>Character</v>
      </c>
      <c r="G69" s="4" t="str">
        <f t="shared" si="8"/>
        <v>Fine</v>
      </c>
      <c r="H69" s="4" t="str">
        <f t="shared" si="9"/>
        <v>Character</v>
      </c>
      <c r="I69" s="4" t="s">
        <v>87</v>
      </c>
      <c r="K69" s="4"/>
    </row>
    <row r="70" spans="1:11" x14ac:dyDescent="0.3">
      <c r="A70" t="s">
        <v>402</v>
      </c>
      <c r="B70" t="s">
        <v>276</v>
      </c>
      <c r="C70" t="s">
        <v>402</v>
      </c>
      <c r="D70">
        <v>0</v>
      </c>
      <c r="E70">
        <v>0</v>
      </c>
      <c r="F70" s="4" t="str">
        <f>'1a. Original Dataset Format'!B70</f>
        <v>Character</v>
      </c>
      <c r="G70" s="4" t="str">
        <f t="shared" si="8"/>
        <v>Fine</v>
      </c>
      <c r="H70" s="4" t="str">
        <f t="shared" si="9"/>
        <v>Character</v>
      </c>
      <c r="I70" s="4" t="s">
        <v>87</v>
      </c>
      <c r="K70" s="4"/>
    </row>
    <row r="71" spans="1:11" x14ac:dyDescent="0.3">
      <c r="A71" t="s">
        <v>403</v>
      </c>
      <c r="B71" t="s">
        <v>276</v>
      </c>
      <c r="C71" t="s">
        <v>403</v>
      </c>
      <c r="D71">
        <v>0</v>
      </c>
      <c r="E71">
        <v>0</v>
      </c>
      <c r="F71" s="4" t="str">
        <f>'1a. Original Dataset Format'!B71</f>
        <v>Character</v>
      </c>
      <c r="G71" s="4" t="str">
        <f t="shared" si="8"/>
        <v>Fine</v>
      </c>
      <c r="H71" s="4" t="str">
        <f t="shared" si="9"/>
        <v>Character</v>
      </c>
      <c r="I71" s="4" t="s">
        <v>87</v>
      </c>
      <c r="K71" s="4"/>
    </row>
    <row r="72" spans="1:11" x14ac:dyDescent="0.3">
      <c r="A72" t="s">
        <v>404</v>
      </c>
      <c r="B72" t="s">
        <v>276</v>
      </c>
      <c r="C72" t="s">
        <v>404</v>
      </c>
      <c r="D72">
        <v>0</v>
      </c>
      <c r="E72">
        <v>0</v>
      </c>
      <c r="F72" s="4" t="str">
        <f>'1a. Original Dataset Format'!B72</f>
        <v>Character</v>
      </c>
      <c r="G72" s="4" t="str">
        <f t="shared" si="8"/>
        <v>Fine</v>
      </c>
      <c r="H72" s="4" t="str">
        <f t="shared" si="9"/>
        <v>Character</v>
      </c>
      <c r="I72" s="4" t="s">
        <v>87</v>
      </c>
      <c r="K72" s="4"/>
    </row>
    <row r="73" spans="1:11" x14ac:dyDescent="0.3">
      <c r="A73" t="s">
        <v>405</v>
      </c>
      <c r="B73" t="s">
        <v>276</v>
      </c>
      <c r="C73" t="s">
        <v>405</v>
      </c>
      <c r="D73">
        <v>0</v>
      </c>
      <c r="E73">
        <v>0</v>
      </c>
      <c r="F73" s="4" t="str">
        <f>'1a. Original Dataset Format'!B73</f>
        <v>Character</v>
      </c>
      <c r="G73" s="4" t="str">
        <f t="shared" si="8"/>
        <v>Fine</v>
      </c>
      <c r="H73" s="4" t="str">
        <f t="shared" si="9"/>
        <v>Character</v>
      </c>
      <c r="I73" s="4" t="s">
        <v>87</v>
      </c>
      <c r="K73" s="4"/>
    </row>
    <row r="74" spans="1:11" x14ac:dyDescent="0.3">
      <c r="A74" t="s">
        <v>406</v>
      </c>
      <c r="B74" t="s">
        <v>276</v>
      </c>
      <c r="C74" t="s">
        <v>406</v>
      </c>
      <c r="D74">
        <v>0</v>
      </c>
      <c r="E74">
        <v>0</v>
      </c>
      <c r="F74" s="4" t="str">
        <f>'1a. Original Dataset Format'!B74</f>
        <v>Character</v>
      </c>
      <c r="G74" s="4" t="str">
        <f t="shared" si="8"/>
        <v>Fine</v>
      </c>
      <c r="H74" s="4" t="str">
        <f t="shared" si="9"/>
        <v>Character</v>
      </c>
      <c r="I74" s="4" t="s">
        <v>87</v>
      </c>
      <c r="K74" s="4"/>
    </row>
    <row r="75" spans="1:11" x14ac:dyDescent="0.3">
      <c r="A75" t="s">
        <v>407</v>
      </c>
      <c r="B75" t="s">
        <v>276</v>
      </c>
      <c r="C75" t="s">
        <v>407</v>
      </c>
      <c r="D75">
        <v>0</v>
      </c>
      <c r="E75">
        <v>0</v>
      </c>
      <c r="F75" s="4" t="str">
        <f>'1a. Original Dataset Format'!B75</f>
        <v>Character</v>
      </c>
      <c r="G75" s="4" t="str">
        <f t="shared" si="8"/>
        <v>Fine</v>
      </c>
      <c r="H75" s="4" t="str">
        <f t="shared" si="9"/>
        <v>Character</v>
      </c>
      <c r="J75" s="4" t="s">
        <v>87</v>
      </c>
      <c r="K75" s="4"/>
    </row>
    <row r="76" spans="1:11" x14ac:dyDescent="0.3">
      <c r="A76" t="s">
        <v>408</v>
      </c>
      <c r="B76" t="s">
        <v>277</v>
      </c>
      <c r="C76" t="s">
        <v>408</v>
      </c>
      <c r="D76">
        <v>0</v>
      </c>
      <c r="E76">
        <v>0</v>
      </c>
      <c r="F76" s="4" t="str">
        <f>'1a. Original Dataset Format'!B76</f>
        <v>Numeric</v>
      </c>
      <c r="G76" s="4" t="str">
        <f t="shared" si="8"/>
        <v>Fine</v>
      </c>
      <c r="H76" s="4" t="str">
        <f t="shared" si="9"/>
        <v>Numeric</v>
      </c>
      <c r="K76" s="4"/>
    </row>
    <row r="77" spans="1:11" x14ac:dyDescent="0.3">
      <c r="A77" t="s">
        <v>409</v>
      </c>
      <c r="B77" t="s">
        <v>276</v>
      </c>
      <c r="C77" t="s">
        <v>409</v>
      </c>
      <c r="D77">
        <v>0</v>
      </c>
      <c r="E77">
        <v>0</v>
      </c>
      <c r="F77" s="4" t="str">
        <f>'1a. Original Dataset Format'!B77</f>
        <v>Date</v>
      </c>
      <c r="G77" s="4" t="str">
        <f t="shared" si="8"/>
        <v>Ignore</v>
      </c>
      <c r="H77" s="4" t="str">
        <f t="shared" si="9"/>
        <v>Date</v>
      </c>
      <c r="I77" s="4" t="s">
        <v>87</v>
      </c>
      <c r="K77" s="4"/>
    </row>
    <row r="78" spans="1:11" x14ac:dyDescent="0.3">
      <c r="A78" t="s">
        <v>410</v>
      </c>
      <c r="B78" t="s">
        <v>276</v>
      </c>
      <c r="C78" t="s">
        <v>410</v>
      </c>
      <c r="D78">
        <v>0</v>
      </c>
      <c r="E78">
        <v>0</v>
      </c>
      <c r="F78" s="4" t="str">
        <f>'1a. Original Dataset Format'!B78</f>
        <v>Character</v>
      </c>
      <c r="G78" s="4" t="str">
        <f t="shared" si="8"/>
        <v>Fine</v>
      </c>
      <c r="H78" s="4" t="str">
        <f t="shared" si="9"/>
        <v>Character</v>
      </c>
      <c r="I78" s="4" t="s">
        <v>87</v>
      </c>
      <c r="K78" s="4"/>
    </row>
    <row r="79" spans="1:11" x14ac:dyDescent="0.3">
      <c r="A79" t="s">
        <v>411</v>
      </c>
      <c r="B79" t="s">
        <v>276</v>
      </c>
      <c r="C79" t="s">
        <v>411</v>
      </c>
      <c r="D79">
        <v>0</v>
      </c>
      <c r="E79">
        <v>0</v>
      </c>
      <c r="F79" s="4" t="str">
        <f>'1a. Original Dataset Format'!B79</f>
        <v>Character</v>
      </c>
      <c r="G79" s="4" t="str">
        <f t="shared" si="8"/>
        <v>Fine</v>
      </c>
      <c r="H79" s="4" t="str">
        <f t="shared" si="9"/>
        <v>Character</v>
      </c>
      <c r="I79" s="4" t="s">
        <v>87</v>
      </c>
      <c r="K79" s="4"/>
    </row>
    <row r="80" spans="1:11" x14ac:dyDescent="0.3">
      <c r="A80" t="s">
        <v>412</v>
      </c>
      <c r="B80" t="s">
        <v>276</v>
      </c>
      <c r="C80" t="s">
        <v>412</v>
      </c>
      <c r="D80">
        <v>0</v>
      </c>
      <c r="E80">
        <v>0</v>
      </c>
      <c r="F80" s="4" t="str">
        <f>'1a. Original Dataset Format'!B80</f>
        <v>Character</v>
      </c>
      <c r="G80" s="4" t="str">
        <f t="shared" si="8"/>
        <v>Fine</v>
      </c>
      <c r="H80" s="4" t="str">
        <f t="shared" si="9"/>
        <v>Character</v>
      </c>
      <c r="I80" s="4" t="s">
        <v>87</v>
      </c>
      <c r="K80" s="4"/>
    </row>
    <row r="81" spans="1:11" x14ac:dyDescent="0.3">
      <c r="A81" t="s">
        <v>413</v>
      </c>
      <c r="B81" t="s">
        <v>276</v>
      </c>
      <c r="C81" t="s">
        <v>413</v>
      </c>
      <c r="D81">
        <v>0</v>
      </c>
      <c r="E81">
        <v>0</v>
      </c>
      <c r="F81" s="4" t="str">
        <f>'1a. Original Dataset Format'!B81</f>
        <v>Character</v>
      </c>
      <c r="G81" s="4" t="str">
        <f t="shared" si="8"/>
        <v>Fine</v>
      </c>
      <c r="H81" s="4" t="str">
        <f t="shared" si="9"/>
        <v>Character</v>
      </c>
      <c r="I81" s="4" t="s">
        <v>87</v>
      </c>
      <c r="K81" s="4"/>
    </row>
    <row r="82" spans="1:11" x14ac:dyDescent="0.3">
      <c r="A82" t="s">
        <v>414</v>
      </c>
      <c r="B82" t="s">
        <v>276</v>
      </c>
      <c r="C82" t="s">
        <v>414</v>
      </c>
      <c r="D82">
        <v>0</v>
      </c>
      <c r="E82">
        <v>0</v>
      </c>
      <c r="F82" s="4" t="str">
        <f>'1a. Original Dataset Format'!B82</f>
        <v>Date</v>
      </c>
      <c r="G82" s="4" t="str">
        <f t="shared" si="8"/>
        <v>Ignore</v>
      </c>
      <c r="H82" s="4" t="str">
        <f t="shared" si="9"/>
        <v>Date</v>
      </c>
      <c r="I82" s="4" t="s">
        <v>87</v>
      </c>
      <c r="K82" s="4"/>
    </row>
    <row r="83" spans="1:11" x14ac:dyDescent="0.3">
      <c r="A83" t="s">
        <v>415</v>
      </c>
      <c r="B83" t="s">
        <v>277</v>
      </c>
      <c r="C83" t="s">
        <v>415</v>
      </c>
      <c r="D83">
        <v>0</v>
      </c>
      <c r="E83">
        <v>0</v>
      </c>
      <c r="F83" s="4" t="str">
        <f>'1a. Original Dataset Format'!B83</f>
        <v>Numeric</v>
      </c>
      <c r="G83" s="4" t="str">
        <f t="shared" si="8"/>
        <v>Fine</v>
      </c>
      <c r="H83" s="4" t="str">
        <f t="shared" si="9"/>
        <v>Numeric</v>
      </c>
      <c r="I83" s="4" t="s">
        <v>87</v>
      </c>
      <c r="K83" s="4"/>
    </row>
    <row r="84" spans="1:11" x14ac:dyDescent="0.3">
      <c r="A84" t="s">
        <v>416</v>
      </c>
      <c r="B84" t="s">
        <v>276</v>
      </c>
      <c r="C84" t="s">
        <v>416</v>
      </c>
      <c r="D84">
        <v>0</v>
      </c>
      <c r="E84">
        <v>0</v>
      </c>
      <c r="F84" s="4" t="str">
        <f>'1a. Original Dataset Format'!B84</f>
        <v>Character</v>
      </c>
      <c r="G84" s="4" t="str">
        <f t="shared" si="8"/>
        <v>Fine</v>
      </c>
      <c r="H84" s="4" t="str">
        <f t="shared" si="9"/>
        <v>Character</v>
      </c>
      <c r="J84" s="4" t="s">
        <v>87</v>
      </c>
      <c r="K84" s="4"/>
    </row>
    <row r="85" spans="1:11" x14ac:dyDescent="0.3">
      <c r="A85" t="s">
        <v>417</v>
      </c>
      <c r="B85" t="s">
        <v>276</v>
      </c>
      <c r="C85" t="s">
        <v>417</v>
      </c>
      <c r="D85">
        <v>0</v>
      </c>
      <c r="E85">
        <v>0</v>
      </c>
      <c r="F85" s="4" t="str">
        <f>'1a. Original Dataset Format'!B85</f>
        <v>Character</v>
      </c>
      <c r="G85" s="4" t="str">
        <f t="shared" si="8"/>
        <v>Fine</v>
      </c>
      <c r="H85" s="4" t="str">
        <f t="shared" si="9"/>
        <v>Character</v>
      </c>
      <c r="I85" s="4" t="s">
        <v>87</v>
      </c>
      <c r="K85" s="4"/>
    </row>
    <row r="86" spans="1:11" x14ac:dyDescent="0.3">
      <c r="A86" t="s">
        <v>418</v>
      </c>
      <c r="B86" t="s">
        <v>276</v>
      </c>
      <c r="C86" t="s">
        <v>418</v>
      </c>
      <c r="D86">
        <v>0</v>
      </c>
      <c r="E86">
        <v>0</v>
      </c>
      <c r="F86" s="4" t="str">
        <f>'1a. Original Dataset Format'!B86</f>
        <v>Character</v>
      </c>
      <c r="G86" s="4" t="str">
        <f t="shared" si="8"/>
        <v>Fine</v>
      </c>
      <c r="H86" s="4" t="str">
        <f t="shared" si="9"/>
        <v>Character</v>
      </c>
      <c r="I86" s="4" t="s">
        <v>87</v>
      </c>
      <c r="K86" s="4"/>
    </row>
    <row r="87" spans="1:11" x14ac:dyDescent="0.3">
      <c r="A87" t="s">
        <v>419</v>
      </c>
      <c r="B87" t="s">
        <v>276</v>
      </c>
      <c r="C87" t="s">
        <v>419</v>
      </c>
      <c r="D87">
        <v>0</v>
      </c>
      <c r="E87">
        <v>0</v>
      </c>
      <c r="F87" s="4" t="str">
        <f>'1a. Original Dataset Format'!B87</f>
        <v>Character</v>
      </c>
      <c r="G87" s="4" t="str">
        <f t="shared" si="8"/>
        <v>Fine</v>
      </c>
      <c r="H87" s="4" t="str">
        <f t="shared" si="9"/>
        <v>Character</v>
      </c>
      <c r="I87" s="4" t="s">
        <v>87</v>
      </c>
      <c r="K87" s="4"/>
    </row>
    <row r="88" spans="1:11" x14ac:dyDescent="0.3">
      <c r="A88" t="s">
        <v>420</v>
      </c>
      <c r="B88" t="s">
        <v>276</v>
      </c>
      <c r="C88" t="s">
        <v>420</v>
      </c>
      <c r="D88">
        <v>0</v>
      </c>
      <c r="E88">
        <v>0</v>
      </c>
      <c r="F88" s="4" t="str">
        <f>'1a. Original Dataset Format'!B88</f>
        <v>Character</v>
      </c>
      <c r="G88" s="4" t="str">
        <f t="shared" si="8"/>
        <v>Fine</v>
      </c>
      <c r="H88" s="4" t="str">
        <f t="shared" si="9"/>
        <v>Character</v>
      </c>
      <c r="I88" s="4" t="s">
        <v>87</v>
      </c>
      <c r="K88" s="4"/>
    </row>
    <row r="89" spans="1:11" x14ac:dyDescent="0.3">
      <c r="A89" t="s">
        <v>421</v>
      </c>
      <c r="B89" t="s">
        <v>276</v>
      </c>
      <c r="C89" t="s">
        <v>421</v>
      </c>
      <c r="D89">
        <v>0</v>
      </c>
      <c r="E89">
        <v>0</v>
      </c>
      <c r="F89" s="4" t="str">
        <f>'1a. Original Dataset Format'!B89</f>
        <v>Character</v>
      </c>
      <c r="G89" s="4" t="str">
        <f t="shared" si="8"/>
        <v>Fine</v>
      </c>
      <c r="H89" s="4" t="str">
        <f t="shared" si="9"/>
        <v>Character</v>
      </c>
      <c r="I89" s="4" t="s">
        <v>87</v>
      </c>
      <c r="K89" s="4"/>
    </row>
    <row r="90" spans="1:11" x14ac:dyDescent="0.3">
      <c r="A90" t="s">
        <v>422</v>
      </c>
      <c r="B90" t="s">
        <v>276</v>
      </c>
      <c r="C90" t="s">
        <v>422</v>
      </c>
      <c r="D90">
        <v>0</v>
      </c>
      <c r="E90">
        <v>0</v>
      </c>
      <c r="F90" s="4" t="str">
        <f>'1a. Original Dataset Format'!B90</f>
        <v>Character</v>
      </c>
      <c r="G90" s="4" t="str">
        <f t="shared" si="8"/>
        <v>Fine</v>
      </c>
      <c r="H90" s="4" t="str">
        <f t="shared" si="9"/>
        <v>Character</v>
      </c>
      <c r="I90" s="4" t="s">
        <v>87</v>
      </c>
      <c r="K90" s="4"/>
    </row>
    <row r="91" spans="1:11" x14ac:dyDescent="0.3">
      <c r="A91" t="s">
        <v>423</v>
      </c>
      <c r="B91" t="s">
        <v>276</v>
      </c>
      <c r="C91" t="s">
        <v>423</v>
      </c>
      <c r="D91">
        <v>0</v>
      </c>
      <c r="E91">
        <v>0</v>
      </c>
      <c r="F91" s="4" t="str">
        <f>'1a. Original Dataset Format'!B91</f>
        <v>Character</v>
      </c>
      <c r="G91" s="4" t="str">
        <f t="shared" si="8"/>
        <v>Fine</v>
      </c>
      <c r="H91" s="4" t="str">
        <f t="shared" si="9"/>
        <v>Character</v>
      </c>
      <c r="I91" s="4" t="s">
        <v>87</v>
      </c>
      <c r="K91" s="4"/>
    </row>
    <row r="92" spans="1:11" x14ac:dyDescent="0.3">
      <c r="A92" t="s">
        <v>424</v>
      </c>
      <c r="B92" t="s">
        <v>276</v>
      </c>
      <c r="C92" t="s">
        <v>424</v>
      </c>
      <c r="D92">
        <v>0</v>
      </c>
      <c r="E92">
        <v>0</v>
      </c>
      <c r="F92" s="4" t="str">
        <f>'1a. Original Dataset Format'!B92</f>
        <v>Character</v>
      </c>
      <c r="G92" s="4" t="str">
        <f t="shared" si="8"/>
        <v>Fine</v>
      </c>
      <c r="H92" s="4" t="str">
        <f t="shared" si="9"/>
        <v>Character</v>
      </c>
      <c r="I92" s="4" t="s">
        <v>87</v>
      </c>
      <c r="K92" s="4"/>
    </row>
    <row r="93" spans="1:11" x14ac:dyDescent="0.3">
      <c r="A93" t="s">
        <v>425</v>
      </c>
      <c r="B93" t="s">
        <v>276</v>
      </c>
      <c r="C93" t="s">
        <v>425</v>
      </c>
      <c r="D93">
        <v>0</v>
      </c>
      <c r="E93">
        <v>0</v>
      </c>
      <c r="F93" s="4" t="str">
        <f>'1a. Original Dataset Format'!B93</f>
        <v>Character</v>
      </c>
      <c r="G93" s="4" t="str">
        <f t="shared" si="8"/>
        <v>Fine</v>
      </c>
      <c r="H93" s="4" t="str">
        <f t="shared" si="9"/>
        <v>Character</v>
      </c>
      <c r="J93" s="4" t="s">
        <v>87</v>
      </c>
      <c r="K93" s="4"/>
    </row>
    <row r="94" spans="1:11" x14ac:dyDescent="0.3">
      <c r="A94" t="s">
        <v>426</v>
      </c>
      <c r="B94" t="s">
        <v>277</v>
      </c>
      <c r="C94" t="s">
        <v>426</v>
      </c>
      <c r="D94">
        <v>0</v>
      </c>
      <c r="E94">
        <v>0</v>
      </c>
      <c r="F94" s="4" t="str">
        <f>'1a. Original Dataset Format'!B94</f>
        <v>Numeric</v>
      </c>
      <c r="G94" s="4" t="str">
        <f t="shared" si="8"/>
        <v>Fine</v>
      </c>
      <c r="H94" s="4" t="str">
        <f t="shared" si="9"/>
        <v>Numeric</v>
      </c>
      <c r="K94" s="4"/>
    </row>
    <row r="95" spans="1:11" x14ac:dyDescent="0.3">
      <c r="A95" t="s">
        <v>427</v>
      </c>
      <c r="B95" t="s">
        <v>276</v>
      </c>
      <c r="C95" t="s">
        <v>427</v>
      </c>
      <c r="D95">
        <v>0</v>
      </c>
      <c r="E95">
        <v>0</v>
      </c>
      <c r="F95" s="4" t="str">
        <f>'1a. Original Dataset Format'!B95</f>
        <v>Date</v>
      </c>
      <c r="G95" s="4" t="str">
        <f t="shared" si="8"/>
        <v>Ignore</v>
      </c>
      <c r="H95" s="4" t="str">
        <f t="shared" si="9"/>
        <v>Date</v>
      </c>
      <c r="I95" s="4" t="s">
        <v>87</v>
      </c>
      <c r="K95" s="4"/>
    </row>
    <row r="96" spans="1:11" x14ac:dyDescent="0.3">
      <c r="A96" t="s">
        <v>428</v>
      </c>
      <c r="B96" t="s">
        <v>276</v>
      </c>
      <c r="C96" t="s">
        <v>428</v>
      </c>
      <c r="D96">
        <v>0</v>
      </c>
      <c r="E96">
        <v>0</v>
      </c>
      <c r="F96" s="4" t="str">
        <f>'1a. Original Dataset Format'!B96</f>
        <v>Character</v>
      </c>
      <c r="G96" s="4" t="str">
        <f t="shared" si="8"/>
        <v>Fine</v>
      </c>
      <c r="H96" s="4" t="str">
        <f t="shared" si="9"/>
        <v>Character</v>
      </c>
      <c r="I96" s="4" t="s">
        <v>87</v>
      </c>
      <c r="K96" s="4"/>
    </row>
    <row r="97" spans="1:11" x14ac:dyDescent="0.3">
      <c r="A97" t="s">
        <v>429</v>
      </c>
      <c r="B97" t="s">
        <v>276</v>
      </c>
      <c r="C97" t="s">
        <v>429</v>
      </c>
      <c r="D97">
        <v>0</v>
      </c>
      <c r="E97">
        <v>0</v>
      </c>
      <c r="F97" s="4" t="str">
        <f>'1a. Original Dataset Format'!B97</f>
        <v>Character</v>
      </c>
      <c r="G97" s="4" t="str">
        <f t="shared" si="8"/>
        <v>Fine</v>
      </c>
      <c r="H97" s="4" t="str">
        <f t="shared" si="9"/>
        <v>Character</v>
      </c>
      <c r="I97" s="4" t="s">
        <v>87</v>
      </c>
      <c r="K97" s="4"/>
    </row>
    <row r="98" spans="1:11" x14ac:dyDescent="0.3">
      <c r="A98" t="s">
        <v>430</v>
      </c>
      <c r="B98" t="s">
        <v>276</v>
      </c>
      <c r="C98" t="s">
        <v>430</v>
      </c>
      <c r="D98">
        <v>0</v>
      </c>
      <c r="E98">
        <v>0</v>
      </c>
      <c r="F98" s="4" t="str">
        <f>'1a. Original Dataset Format'!B98</f>
        <v>Character</v>
      </c>
      <c r="G98" s="4" t="str">
        <f t="shared" si="8"/>
        <v>Fine</v>
      </c>
      <c r="H98" s="4" t="str">
        <f t="shared" si="9"/>
        <v>Character</v>
      </c>
      <c r="I98" s="4" t="s">
        <v>87</v>
      </c>
      <c r="K98" s="4"/>
    </row>
    <row r="99" spans="1:11" x14ac:dyDescent="0.3">
      <c r="A99" t="s">
        <v>431</v>
      </c>
      <c r="B99" t="s">
        <v>276</v>
      </c>
      <c r="C99" t="s">
        <v>431</v>
      </c>
      <c r="D99">
        <v>0</v>
      </c>
      <c r="E99">
        <v>0</v>
      </c>
      <c r="F99" s="4" t="str">
        <f>'1a. Original Dataset Format'!B99</f>
        <v>Character</v>
      </c>
      <c r="G99" s="4" t="str">
        <f t="shared" si="8"/>
        <v>Fine</v>
      </c>
      <c r="H99" s="4" t="str">
        <f t="shared" si="9"/>
        <v>Character</v>
      </c>
      <c r="I99" s="4" t="s">
        <v>87</v>
      </c>
      <c r="K99" s="4"/>
    </row>
    <row r="100" spans="1:11" x14ac:dyDescent="0.3">
      <c r="A100" t="s">
        <v>432</v>
      </c>
      <c r="B100" t="s">
        <v>276</v>
      </c>
      <c r="C100" t="s">
        <v>432</v>
      </c>
      <c r="D100">
        <v>0</v>
      </c>
      <c r="E100">
        <v>0</v>
      </c>
      <c r="F100" s="4" t="str">
        <f>'1a. Original Dataset Format'!B100</f>
        <v>Date</v>
      </c>
      <c r="G100" s="4" t="str">
        <f t="shared" si="8"/>
        <v>Ignore</v>
      </c>
      <c r="H100" s="4" t="str">
        <f t="shared" si="9"/>
        <v>Date</v>
      </c>
      <c r="I100" s="4" t="s">
        <v>87</v>
      </c>
      <c r="K100" s="4"/>
    </row>
    <row r="101" spans="1:11" x14ac:dyDescent="0.3">
      <c r="A101" t="s">
        <v>433</v>
      </c>
      <c r="B101" t="s">
        <v>277</v>
      </c>
      <c r="C101" t="s">
        <v>433</v>
      </c>
      <c r="D101">
        <v>0</v>
      </c>
      <c r="E101">
        <v>0</v>
      </c>
      <c r="F101" s="4" t="str">
        <f>'1a. Original Dataset Format'!B101</f>
        <v>Numeric</v>
      </c>
      <c r="G101" s="4" t="str">
        <f t="shared" si="8"/>
        <v>Fine</v>
      </c>
      <c r="H101" s="4" t="str">
        <f t="shared" si="9"/>
        <v>Numeric</v>
      </c>
      <c r="I101" s="4" t="s">
        <v>87</v>
      </c>
      <c r="K101" s="4"/>
    </row>
    <row r="102" spans="1:11" x14ac:dyDescent="0.3">
      <c r="A102" t="s">
        <v>434</v>
      </c>
      <c r="B102" t="s">
        <v>276</v>
      </c>
      <c r="C102" t="s">
        <v>434</v>
      </c>
      <c r="D102">
        <v>0</v>
      </c>
      <c r="E102">
        <v>0</v>
      </c>
      <c r="F102" s="4" t="str">
        <f>'1a. Original Dataset Format'!B102</f>
        <v>Character</v>
      </c>
      <c r="G102" s="4" t="str">
        <f t="shared" ref="G102:G165" si="10">IF(F102="Character",IF(OR(B102="factor",B102="character"),"Fine","ERROR"),IF(F102="Numeric",IF(OR(B102="numeric",B102="integer"),"Fine","ERROR"),IF(F102="Date","Ignore","CHECK")))</f>
        <v>Fine</v>
      </c>
      <c r="H102" s="4" t="str">
        <f t="shared" ref="H102:H165" si="11">IF(G102="error","Numeric",F102)</f>
        <v>Character</v>
      </c>
      <c r="J102" s="4" t="s">
        <v>87</v>
      </c>
      <c r="K102" s="4"/>
    </row>
    <row r="103" spans="1:11" x14ac:dyDescent="0.3">
      <c r="A103" t="s">
        <v>435</v>
      </c>
      <c r="B103" t="s">
        <v>276</v>
      </c>
      <c r="C103" t="s">
        <v>435</v>
      </c>
      <c r="D103">
        <v>0</v>
      </c>
      <c r="E103">
        <v>0</v>
      </c>
      <c r="F103" s="4" t="str">
        <f>'1a. Original Dataset Format'!B103</f>
        <v>Character</v>
      </c>
      <c r="G103" s="4" t="str">
        <f t="shared" si="10"/>
        <v>Fine</v>
      </c>
      <c r="H103" s="4" t="str">
        <f t="shared" si="11"/>
        <v>Character</v>
      </c>
      <c r="I103" s="4" t="s">
        <v>87</v>
      </c>
      <c r="K103" s="4"/>
    </row>
    <row r="104" spans="1:11" x14ac:dyDescent="0.3">
      <c r="A104" t="s">
        <v>436</v>
      </c>
      <c r="B104" t="s">
        <v>276</v>
      </c>
      <c r="C104" t="s">
        <v>436</v>
      </c>
      <c r="D104">
        <v>0</v>
      </c>
      <c r="E104">
        <v>0</v>
      </c>
      <c r="F104" s="4" t="str">
        <f>'1a. Original Dataset Format'!B104</f>
        <v>Character</v>
      </c>
      <c r="G104" s="4" t="str">
        <f t="shared" si="10"/>
        <v>Fine</v>
      </c>
      <c r="H104" s="4" t="str">
        <f t="shared" si="11"/>
        <v>Character</v>
      </c>
      <c r="I104" s="4" t="s">
        <v>87</v>
      </c>
      <c r="K104" s="4"/>
    </row>
    <row r="105" spans="1:11" x14ac:dyDescent="0.3">
      <c r="A105" t="s">
        <v>437</v>
      </c>
      <c r="B105" t="s">
        <v>276</v>
      </c>
      <c r="C105" t="s">
        <v>437</v>
      </c>
      <c r="D105">
        <v>0</v>
      </c>
      <c r="E105">
        <v>0</v>
      </c>
      <c r="F105" s="4" t="str">
        <f>'1a. Original Dataset Format'!B105</f>
        <v>Character</v>
      </c>
      <c r="G105" s="4" t="str">
        <f t="shared" si="10"/>
        <v>Fine</v>
      </c>
      <c r="H105" s="4" t="str">
        <f t="shared" si="11"/>
        <v>Character</v>
      </c>
      <c r="I105" s="4" t="s">
        <v>87</v>
      </c>
      <c r="K105" s="4"/>
    </row>
    <row r="106" spans="1:11" x14ac:dyDescent="0.3">
      <c r="A106" t="s">
        <v>438</v>
      </c>
      <c r="B106" t="s">
        <v>276</v>
      </c>
      <c r="C106" t="s">
        <v>438</v>
      </c>
      <c r="D106">
        <v>0</v>
      </c>
      <c r="E106">
        <v>0</v>
      </c>
      <c r="F106" s="4" t="str">
        <f>'1a. Original Dataset Format'!B106</f>
        <v>Character</v>
      </c>
      <c r="G106" s="4" t="str">
        <f t="shared" si="10"/>
        <v>Fine</v>
      </c>
      <c r="H106" s="4" t="str">
        <f t="shared" si="11"/>
        <v>Character</v>
      </c>
      <c r="I106" s="4" t="s">
        <v>87</v>
      </c>
      <c r="K106" s="4"/>
    </row>
    <row r="107" spans="1:11" x14ac:dyDescent="0.3">
      <c r="A107" t="s">
        <v>439</v>
      </c>
      <c r="B107" t="s">
        <v>276</v>
      </c>
      <c r="C107" t="s">
        <v>439</v>
      </c>
      <c r="D107">
        <v>0</v>
      </c>
      <c r="E107">
        <v>0</v>
      </c>
      <c r="F107" s="4" t="str">
        <f>'1a. Original Dataset Format'!B107</f>
        <v>Character</v>
      </c>
      <c r="G107" s="4" t="str">
        <f t="shared" si="10"/>
        <v>Fine</v>
      </c>
      <c r="H107" s="4" t="str">
        <f t="shared" si="11"/>
        <v>Character</v>
      </c>
      <c r="I107" s="4" t="s">
        <v>87</v>
      </c>
      <c r="K107" s="4"/>
    </row>
    <row r="108" spans="1:11" x14ac:dyDescent="0.3">
      <c r="A108" t="s">
        <v>440</v>
      </c>
      <c r="B108" t="s">
        <v>276</v>
      </c>
      <c r="C108" t="s">
        <v>440</v>
      </c>
      <c r="D108">
        <v>0</v>
      </c>
      <c r="E108">
        <v>0</v>
      </c>
      <c r="F108" s="4" t="str">
        <f>'1a. Original Dataset Format'!B108</f>
        <v>Character</v>
      </c>
      <c r="G108" s="4" t="str">
        <f t="shared" si="10"/>
        <v>Fine</v>
      </c>
      <c r="H108" s="4" t="str">
        <f t="shared" si="11"/>
        <v>Character</v>
      </c>
      <c r="I108" s="4" t="s">
        <v>87</v>
      </c>
      <c r="K108" s="4"/>
    </row>
    <row r="109" spans="1:11" x14ac:dyDescent="0.3">
      <c r="A109" t="s">
        <v>441</v>
      </c>
      <c r="B109" t="s">
        <v>276</v>
      </c>
      <c r="C109" t="s">
        <v>441</v>
      </c>
      <c r="D109">
        <v>0</v>
      </c>
      <c r="E109">
        <v>0</v>
      </c>
      <c r="F109" s="4" t="str">
        <f>'1a. Original Dataset Format'!B109</f>
        <v>Character</v>
      </c>
      <c r="G109" s="4" t="str">
        <f t="shared" si="10"/>
        <v>Fine</v>
      </c>
      <c r="H109" s="4" t="str">
        <f t="shared" si="11"/>
        <v>Character</v>
      </c>
      <c r="I109" s="4" t="s">
        <v>87</v>
      </c>
      <c r="K109" s="4"/>
    </row>
    <row r="110" spans="1:11" x14ac:dyDescent="0.3">
      <c r="A110" t="s">
        <v>442</v>
      </c>
      <c r="B110" t="s">
        <v>276</v>
      </c>
      <c r="C110" t="s">
        <v>442</v>
      </c>
      <c r="D110">
        <v>0</v>
      </c>
      <c r="E110">
        <v>0</v>
      </c>
      <c r="F110" s="4" t="str">
        <f>'1a. Original Dataset Format'!B110</f>
        <v>Character</v>
      </c>
      <c r="G110" s="4" t="str">
        <f t="shared" si="10"/>
        <v>Fine</v>
      </c>
      <c r="H110" s="4" t="str">
        <f t="shared" si="11"/>
        <v>Character</v>
      </c>
      <c r="I110" s="4" t="s">
        <v>87</v>
      </c>
      <c r="K110" s="4"/>
    </row>
    <row r="111" spans="1:11" x14ac:dyDescent="0.3">
      <c r="A111" t="s">
        <v>443</v>
      </c>
      <c r="B111" t="s">
        <v>277</v>
      </c>
      <c r="C111" t="s">
        <v>443</v>
      </c>
      <c r="D111">
        <v>0</v>
      </c>
      <c r="E111">
        <v>0</v>
      </c>
      <c r="F111" s="4" t="str">
        <f>'1a. Original Dataset Format'!B111</f>
        <v>Numeric</v>
      </c>
      <c r="G111" s="4" t="str">
        <f t="shared" si="10"/>
        <v>Fine</v>
      </c>
      <c r="H111" s="4" t="str">
        <f t="shared" si="11"/>
        <v>Numeric</v>
      </c>
      <c r="I111" s="4" t="s">
        <v>87</v>
      </c>
      <c r="K111" s="4"/>
    </row>
    <row r="112" spans="1:11" x14ac:dyDescent="0.3">
      <c r="A112" t="s">
        <v>444</v>
      </c>
      <c r="B112" t="s">
        <v>277</v>
      </c>
      <c r="C112" t="s">
        <v>444</v>
      </c>
      <c r="D112">
        <v>0</v>
      </c>
      <c r="E112">
        <v>0</v>
      </c>
      <c r="F112" s="4" t="str">
        <f>'1a. Original Dataset Format'!B112</f>
        <v>Numeric</v>
      </c>
      <c r="G112" s="4" t="str">
        <f t="shared" si="10"/>
        <v>Fine</v>
      </c>
      <c r="H112" s="4" t="str">
        <f t="shared" si="11"/>
        <v>Numeric</v>
      </c>
      <c r="K112" s="4"/>
    </row>
    <row r="113" spans="1:11" x14ac:dyDescent="0.3">
      <c r="A113" t="s">
        <v>445</v>
      </c>
      <c r="B113" t="s">
        <v>277</v>
      </c>
      <c r="C113" t="s">
        <v>445</v>
      </c>
      <c r="D113">
        <v>0</v>
      </c>
      <c r="E113">
        <v>0</v>
      </c>
      <c r="F113" s="4" t="str">
        <f>'1a. Original Dataset Format'!B113</f>
        <v>Numeric</v>
      </c>
      <c r="G113" s="4" t="str">
        <f t="shared" si="10"/>
        <v>Fine</v>
      </c>
      <c r="H113" s="4" t="str">
        <f t="shared" si="11"/>
        <v>Numeric</v>
      </c>
      <c r="K113" s="4"/>
    </row>
    <row r="114" spans="1:11" x14ac:dyDescent="0.3">
      <c r="A114" t="s">
        <v>446</v>
      </c>
      <c r="B114" t="s">
        <v>276</v>
      </c>
      <c r="C114" t="s">
        <v>446</v>
      </c>
      <c r="D114">
        <v>0</v>
      </c>
      <c r="E114">
        <v>0</v>
      </c>
      <c r="F114" s="4" t="str">
        <f>'1a. Original Dataset Format'!B114</f>
        <v>Character</v>
      </c>
      <c r="G114" s="4" t="str">
        <f t="shared" si="10"/>
        <v>Fine</v>
      </c>
      <c r="H114" s="4" t="str">
        <f t="shared" si="11"/>
        <v>Character</v>
      </c>
      <c r="J114" s="4" t="s">
        <v>87</v>
      </c>
      <c r="K114" s="4"/>
    </row>
    <row r="115" spans="1:11" x14ac:dyDescent="0.3">
      <c r="A115" t="s">
        <v>448</v>
      </c>
      <c r="B115" t="s">
        <v>276</v>
      </c>
      <c r="C115" t="s">
        <v>448</v>
      </c>
      <c r="D115">
        <v>0</v>
      </c>
      <c r="E115">
        <v>0</v>
      </c>
      <c r="F115" s="4" t="str">
        <f>'1a. Original Dataset Format'!B115</f>
        <v>Character</v>
      </c>
      <c r="G115" s="4" t="str">
        <f t="shared" si="10"/>
        <v>Fine</v>
      </c>
      <c r="H115" s="4" t="str">
        <f t="shared" si="11"/>
        <v>Character</v>
      </c>
      <c r="I115" s="4" t="s">
        <v>87</v>
      </c>
      <c r="K115" s="4"/>
    </row>
    <row r="116" spans="1:11" x14ac:dyDescent="0.3">
      <c r="A116" t="s">
        <v>450</v>
      </c>
      <c r="B116" t="s">
        <v>276</v>
      </c>
      <c r="C116" t="s">
        <v>450</v>
      </c>
      <c r="D116">
        <v>0</v>
      </c>
      <c r="E116">
        <v>0</v>
      </c>
      <c r="F116" s="4" t="str">
        <f>'1a. Original Dataset Format'!B116</f>
        <v>Character</v>
      </c>
      <c r="G116" s="4" t="str">
        <f t="shared" si="10"/>
        <v>Fine</v>
      </c>
      <c r="H116" s="4" t="str">
        <f t="shared" si="11"/>
        <v>Character</v>
      </c>
      <c r="I116" s="4" t="s">
        <v>87</v>
      </c>
      <c r="K116" s="4"/>
    </row>
    <row r="117" spans="1:11" x14ac:dyDescent="0.3">
      <c r="A117" t="s">
        <v>451</v>
      </c>
      <c r="B117" t="s">
        <v>276</v>
      </c>
      <c r="C117" t="s">
        <v>451</v>
      </c>
      <c r="D117">
        <v>0</v>
      </c>
      <c r="E117">
        <v>0</v>
      </c>
      <c r="F117" s="4" t="str">
        <f>'1a. Original Dataset Format'!B117</f>
        <v>Character</v>
      </c>
      <c r="G117" s="4" t="str">
        <f t="shared" si="10"/>
        <v>Fine</v>
      </c>
      <c r="H117" s="4" t="str">
        <f t="shared" si="11"/>
        <v>Character</v>
      </c>
      <c r="I117" s="4" t="s">
        <v>87</v>
      </c>
      <c r="K117" s="4"/>
    </row>
    <row r="118" spans="1:11" x14ac:dyDescent="0.3">
      <c r="A118" t="s">
        <v>452</v>
      </c>
      <c r="B118" t="s">
        <v>276</v>
      </c>
      <c r="C118" t="s">
        <v>452</v>
      </c>
      <c r="D118">
        <v>0</v>
      </c>
      <c r="E118">
        <v>0</v>
      </c>
      <c r="F118" s="4" t="str">
        <f>'1a. Original Dataset Format'!B118</f>
        <v>Character</v>
      </c>
      <c r="G118" s="4" t="str">
        <f t="shared" si="10"/>
        <v>Fine</v>
      </c>
      <c r="H118" s="4" t="str">
        <f t="shared" si="11"/>
        <v>Character</v>
      </c>
      <c r="I118" s="4" t="s">
        <v>87</v>
      </c>
      <c r="K118" s="4"/>
    </row>
    <row r="119" spans="1:11" x14ac:dyDescent="0.3">
      <c r="A119" t="s">
        <v>454</v>
      </c>
      <c r="B119" t="s">
        <v>277</v>
      </c>
      <c r="C119" t="s">
        <v>454</v>
      </c>
      <c r="D119">
        <v>0</v>
      </c>
      <c r="E119">
        <v>0</v>
      </c>
      <c r="F119" s="4" t="str">
        <f>'1a. Original Dataset Format'!B119</f>
        <v>Numeric</v>
      </c>
      <c r="G119" s="4" t="str">
        <f t="shared" si="10"/>
        <v>Fine</v>
      </c>
      <c r="H119" s="4" t="str">
        <f t="shared" si="11"/>
        <v>Numeric</v>
      </c>
      <c r="I119" s="4" t="s">
        <v>87</v>
      </c>
      <c r="K119" s="4"/>
    </row>
    <row r="120" spans="1:11" x14ac:dyDescent="0.3">
      <c r="A120" t="s">
        <v>456</v>
      </c>
      <c r="B120" t="s">
        <v>276</v>
      </c>
      <c r="C120" t="s">
        <v>456</v>
      </c>
      <c r="D120">
        <v>0</v>
      </c>
      <c r="E120">
        <v>0</v>
      </c>
      <c r="F120" s="4" t="str">
        <f>'1a. Original Dataset Format'!B120</f>
        <v>Character</v>
      </c>
      <c r="G120" s="4" t="str">
        <f t="shared" si="10"/>
        <v>Fine</v>
      </c>
      <c r="H120" s="4" t="str">
        <f t="shared" si="11"/>
        <v>Character</v>
      </c>
      <c r="J120" s="4" t="s">
        <v>87</v>
      </c>
      <c r="K120" s="4"/>
    </row>
    <row r="121" spans="1:11" x14ac:dyDescent="0.3">
      <c r="A121" t="s">
        <v>457</v>
      </c>
      <c r="B121" t="s">
        <v>276</v>
      </c>
      <c r="C121" t="s">
        <v>457</v>
      </c>
      <c r="D121">
        <v>0</v>
      </c>
      <c r="E121">
        <v>0</v>
      </c>
      <c r="F121" s="4" t="str">
        <f>'1a. Original Dataset Format'!B121</f>
        <v>Character</v>
      </c>
      <c r="G121" s="4" t="str">
        <f t="shared" si="10"/>
        <v>Fine</v>
      </c>
      <c r="H121" s="4" t="str">
        <f t="shared" si="11"/>
        <v>Character</v>
      </c>
      <c r="J121" s="4" t="s">
        <v>87</v>
      </c>
      <c r="K121" s="4"/>
    </row>
    <row r="122" spans="1:11" x14ac:dyDescent="0.3">
      <c r="A122" t="s">
        <v>459</v>
      </c>
      <c r="B122" t="s">
        <v>277</v>
      </c>
      <c r="C122" t="s">
        <v>459</v>
      </c>
      <c r="D122">
        <v>0</v>
      </c>
      <c r="E122">
        <v>0</v>
      </c>
      <c r="F122" s="4" t="str">
        <f>'1a. Original Dataset Format'!B122</f>
        <v>Numeric</v>
      </c>
      <c r="G122" s="4" t="str">
        <f t="shared" si="10"/>
        <v>Fine</v>
      </c>
      <c r="H122" s="4" t="str">
        <f t="shared" si="11"/>
        <v>Numeric</v>
      </c>
      <c r="K122" s="4"/>
    </row>
    <row r="123" spans="1:11" x14ac:dyDescent="0.3">
      <c r="A123" t="s">
        <v>461</v>
      </c>
      <c r="B123" t="s">
        <v>263</v>
      </c>
      <c r="C123" t="s">
        <v>461</v>
      </c>
      <c r="D123">
        <v>0</v>
      </c>
      <c r="E123">
        <v>0</v>
      </c>
      <c r="F123" s="4" t="str">
        <f>'1a. Original Dataset Format'!B123</f>
        <v>Numeric</v>
      </c>
      <c r="G123" s="4" t="str">
        <f t="shared" si="10"/>
        <v>Fine</v>
      </c>
      <c r="H123" s="4" t="str">
        <f t="shared" si="11"/>
        <v>Numeric</v>
      </c>
      <c r="K123" s="4"/>
    </row>
    <row r="124" spans="1:11" x14ac:dyDescent="0.3">
      <c r="A124" t="s">
        <v>463</v>
      </c>
      <c r="B124" t="s">
        <v>277</v>
      </c>
      <c r="C124" t="s">
        <v>463</v>
      </c>
      <c r="D124">
        <v>0</v>
      </c>
      <c r="E124">
        <v>0</v>
      </c>
      <c r="F124" s="4" t="str">
        <f>'1a. Original Dataset Format'!B124</f>
        <v>Numeric</v>
      </c>
      <c r="G124" s="4" t="str">
        <f t="shared" si="10"/>
        <v>Fine</v>
      </c>
      <c r="H124" s="4" t="str">
        <f t="shared" si="11"/>
        <v>Numeric</v>
      </c>
      <c r="K124" s="4"/>
    </row>
    <row r="125" spans="1:11" x14ac:dyDescent="0.3">
      <c r="A125" t="s">
        <v>464</v>
      </c>
      <c r="B125" t="s">
        <v>276</v>
      </c>
      <c r="C125" t="s">
        <v>464</v>
      </c>
      <c r="D125">
        <v>0</v>
      </c>
      <c r="E125">
        <v>0</v>
      </c>
      <c r="F125" s="4" t="str">
        <f>'1a. Original Dataset Format'!B125</f>
        <v>Character</v>
      </c>
      <c r="G125" s="4" t="str">
        <f t="shared" si="10"/>
        <v>Fine</v>
      </c>
      <c r="H125" s="4" t="str">
        <f t="shared" si="11"/>
        <v>Character</v>
      </c>
      <c r="J125" s="4" t="s">
        <v>87</v>
      </c>
      <c r="K125" s="4"/>
    </row>
    <row r="126" spans="1:11" x14ac:dyDescent="0.3">
      <c r="A126" t="s">
        <v>465</v>
      </c>
      <c r="B126" t="s">
        <v>276</v>
      </c>
      <c r="C126" t="s">
        <v>465</v>
      </c>
      <c r="D126">
        <v>0</v>
      </c>
      <c r="E126">
        <v>0</v>
      </c>
      <c r="F126" s="4" t="str">
        <f>'1a. Original Dataset Format'!B126</f>
        <v>Character</v>
      </c>
      <c r="G126" s="4" t="str">
        <f t="shared" si="10"/>
        <v>Fine</v>
      </c>
      <c r="H126" s="4" t="str">
        <f t="shared" si="11"/>
        <v>Character</v>
      </c>
      <c r="J126" s="4" t="s">
        <v>87</v>
      </c>
      <c r="K126" s="4"/>
    </row>
    <row r="127" spans="1:11" x14ac:dyDescent="0.3">
      <c r="A127" t="s">
        <v>311</v>
      </c>
      <c r="B127" t="s">
        <v>276</v>
      </c>
      <c r="C127" t="s">
        <v>311</v>
      </c>
      <c r="D127">
        <v>0</v>
      </c>
      <c r="E127">
        <v>0</v>
      </c>
      <c r="F127" s="4" t="str">
        <f>'1a. Original Dataset Format'!B127</f>
        <v>Character</v>
      </c>
      <c r="G127" s="4" t="str">
        <f t="shared" si="10"/>
        <v>Fine</v>
      </c>
      <c r="H127" s="4" t="str">
        <f t="shared" si="11"/>
        <v>Character</v>
      </c>
      <c r="J127" s="4" t="s">
        <v>87</v>
      </c>
      <c r="K127" s="4"/>
    </row>
    <row r="128" spans="1:11" x14ac:dyDescent="0.3">
      <c r="A128" t="s">
        <v>466</v>
      </c>
      <c r="B128" t="s">
        <v>276</v>
      </c>
      <c r="C128" t="s">
        <v>466</v>
      </c>
      <c r="D128">
        <v>0</v>
      </c>
      <c r="E128">
        <v>0</v>
      </c>
      <c r="F128" s="4" t="str">
        <f>'1a. Original Dataset Format'!B128</f>
        <v>Date</v>
      </c>
      <c r="G128" s="4" t="str">
        <f t="shared" si="10"/>
        <v>Ignore</v>
      </c>
      <c r="H128" s="4" t="str">
        <f t="shared" si="11"/>
        <v>Date</v>
      </c>
      <c r="I128" s="4" t="s">
        <v>87</v>
      </c>
      <c r="K128" s="4"/>
    </row>
    <row r="129" spans="1:11" x14ac:dyDescent="0.3">
      <c r="A129" t="s">
        <v>467</v>
      </c>
      <c r="B129" t="s">
        <v>277</v>
      </c>
      <c r="C129" t="s">
        <v>467</v>
      </c>
      <c r="D129">
        <v>0</v>
      </c>
      <c r="E129">
        <v>0</v>
      </c>
      <c r="F129" s="4" t="str">
        <f>'1a. Original Dataset Format'!B129</f>
        <v>Numeric</v>
      </c>
      <c r="G129" s="4" t="str">
        <f t="shared" si="10"/>
        <v>Fine</v>
      </c>
      <c r="H129" s="4" t="str">
        <f t="shared" si="11"/>
        <v>Numeric</v>
      </c>
      <c r="K129" s="4"/>
    </row>
    <row r="130" spans="1:11" x14ac:dyDescent="0.3">
      <c r="A130" t="s">
        <v>468</v>
      </c>
      <c r="B130" t="s">
        <v>276</v>
      </c>
      <c r="C130" t="s">
        <v>468</v>
      </c>
      <c r="D130">
        <v>0</v>
      </c>
      <c r="E130">
        <v>0</v>
      </c>
      <c r="F130" s="4" t="str">
        <f>'1a. Original Dataset Format'!B130</f>
        <v>Character</v>
      </c>
      <c r="G130" s="4" t="str">
        <f t="shared" si="10"/>
        <v>Fine</v>
      </c>
      <c r="H130" s="4" t="str">
        <f t="shared" si="11"/>
        <v>Character</v>
      </c>
      <c r="I130" s="4" t="s">
        <v>87</v>
      </c>
      <c r="K130" s="4"/>
    </row>
    <row r="131" spans="1:11" x14ac:dyDescent="0.3">
      <c r="A131" t="s">
        <v>469</v>
      </c>
      <c r="B131" t="s">
        <v>276</v>
      </c>
      <c r="C131" t="s">
        <v>469</v>
      </c>
      <c r="D131">
        <v>0</v>
      </c>
      <c r="E131">
        <v>0</v>
      </c>
      <c r="F131" s="4" t="str">
        <f>'1a. Original Dataset Format'!B131</f>
        <v>Character</v>
      </c>
      <c r="G131" s="4" t="str">
        <f t="shared" si="10"/>
        <v>Fine</v>
      </c>
      <c r="H131" s="4" t="str">
        <f t="shared" si="11"/>
        <v>Character</v>
      </c>
      <c r="I131" s="4" t="s">
        <v>87</v>
      </c>
      <c r="K131" s="4"/>
    </row>
    <row r="132" spans="1:11" x14ac:dyDescent="0.3">
      <c r="A132" t="s">
        <v>90</v>
      </c>
      <c r="B132" t="s">
        <v>277</v>
      </c>
      <c r="C132" t="s">
        <v>90</v>
      </c>
      <c r="D132">
        <v>0</v>
      </c>
      <c r="E132">
        <v>0</v>
      </c>
      <c r="F132" s="4" t="str">
        <f>'1a. Original Dataset Format'!B132</f>
        <v>Numeric</v>
      </c>
      <c r="G132" s="4" t="str">
        <f t="shared" si="10"/>
        <v>Fine</v>
      </c>
      <c r="H132" s="4" t="str">
        <f t="shared" si="11"/>
        <v>Numeric</v>
      </c>
      <c r="K132" s="4"/>
    </row>
    <row r="133" spans="1:11" x14ac:dyDescent="0.3">
      <c r="A133" t="s">
        <v>187</v>
      </c>
      <c r="B133" t="s">
        <v>277</v>
      </c>
      <c r="C133" t="s">
        <v>187</v>
      </c>
      <c r="D133">
        <v>0</v>
      </c>
      <c r="E133">
        <v>0</v>
      </c>
      <c r="F133" s="4" t="str">
        <f>'1a. Original Dataset Format'!B133</f>
        <v>Numeric</v>
      </c>
      <c r="G133" s="4" t="str">
        <f t="shared" si="10"/>
        <v>Fine</v>
      </c>
      <c r="H133" s="4" t="str">
        <f t="shared" si="11"/>
        <v>Numeric</v>
      </c>
      <c r="K133" s="4"/>
    </row>
    <row r="134" spans="1:11" x14ac:dyDescent="0.3">
      <c r="A134" t="s">
        <v>471</v>
      </c>
      <c r="B134" t="s">
        <v>276</v>
      </c>
      <c r="C134" t="s">
        <v>471</v>
      </c>
      <c r="D134">
        <v>0</v>
      </c>
      <c r="E134">
        <v>0</v>
      </c>
      <c r="F134" s="4" t="str">
        <f>'1a. Original Dataset Format'!B134</f>
        <v>Character</v>
      </c>
      <c r="G134" s="4" t="str">
        <f t="shared" si="10"/>
        <v>Fine</v>
      </c>
      <c r="H134" s="4" t="str">
        <f t="shared" si="11"/>
        <v>Character</v>
      </c>
      <c r="I134" s="4" t="s">
        <v>87</v>
      </c>
      <c r="K134" s="4"/>
    </row>
    <row r="135" spans="1:11" x14ac:dyDescent="0.3">
      <c r="A135" t="s">
        <v>472</v>
      </c>
      <c r="B135" t="s">
        <v>276</v>
      </c>
      <c r="C135" t="s">
        <v>472</v>
      </c>
      <c r="D135">
        <v>0</v>
      </c>
      <c r="E135">
        <v>0</v>
      </c>
      <c r="F135" s="4" t="str">
        <f>'1a. Original Dataset Format'!B135</f>
        <v>Character</v>
      </c>
      <c r="G135" s="4" t="str">
        <f t="shared" si="10"/>
        <v>Fine</v>
      </c>
      <c r="H135" s="4" t="str">
        <f t="shared" si="11"/>
        <v>Character</v>
      </c>
      <c r="J135" s="4" t="s">
        <v>87</v>
      </c>
      <c r="K135" s="4"/>
    </row>
    <row r="136" spans="1:11" x14ac:dyDescent="0.3">
      <c r="A136" t="s">
        <v>473</v>
      </c>
      <c r="B136" t="s">
        <v>276</v>
      </c>
      <c r="C136" t="s">
        <v>473</v>
      </c>
      <c r="D136">
        <v>0</v>
      </c>
      <c r="E136">
        <v>0</v>
      </c>
      <c r="F136" s="4" t="str">
        <f>'1a. Original Dataset Format'!B136</f>
        <v>Character</v>
      </c>
      <c r="G136" s="4" t="str">
        <f t="shared" si="10"/>
        <v>Fine</v>
      </c>
      <c r="H136" s="4" t="str">
        <f t="shared" si="11"/>
        <v>Character</v>
      </c>
      <c r="J136" s="4" t="s">
        <v>87</v>
      </c>
      <c r="K136" s="4"/>
    </row>
    <row r="137" spans="1:11" x14ac:dyDescent="0.3">
      <c r="A137" t="s">
        <v>474</v>
      </c>
      <c r="B137" t="s">
        <v>276</v>
      </c>
      <c r="C137" t="s">
        <v>474</v>
      </c>
      <c r="D137">
        <v>0</v>
      </c>
      <c r="E137">
        <v>0</v>
      </c>
      <c r="F137" s="4" t="str">
        <f>'1a. Original Dataset Format'!B137</f>
        <v>Character</v>
      </c>
      <c r="G137" s="4" t="str">
        <f t="shared" si="10"/>
        <v>Fine</v>
      </c>
      <c r="H137" s="4" t="str">
        <f t="shared" si="11"/>
        <v>Character</v>
      </c>
      <c r="J137" s="4" t="s">
        <v>87</v>
      </c>
      <c r="K137" s="4"/>
    </row>
    <row r="138" spans="1:11" x14ac:dyDescent="0.3">
      <c r="A138" t="s">
        <v>475</v>
      </c>
      <c r="B138" t="s">
        <v>276</v>
      </c>
      <c r="C138" t="s">
        <v>475</v>
      </c>
      <c r="D138">
        <v>0</v>
      </c>
      <c r="E138">
        <v>0</v>
      </c>
      <c r="F138" s="4" t="str">
        <f>'1a. Original Dataset Format'!B138</f>
        <v>Character</v>
      </c>
      <c r="G138" s="4" t="str">
        <f t="shared" si="10"/>
        <v>Fine</v>
      </c>
      <c r="H138" s="4" t="str">
        <f t="shared" si="11"/>
        <v>Character</v>
      </c>
      <c r="J138" s="4" t="s">
        <v>87</v>
      </c>
      <c r="K138" s="4"/>
    </row>
    <row r="139" spans="1:11" x14ac:dyDescent="0.3">
      <c r="A139" t="s">
        <v>476</v>
      </c>
      <c r="B139" t="s">
        <v>276</v>
      </c>
      <c r="C139" t="s">
        <v>476</v>
      </c>
      <c r="D139">
        <v>0</v>
      </c>
      <c r="E139">
        <v>0</v>
      </c>
      <c r="F139" s="4" t="str">
        <f>'1a. Original Dataset Format'!B139</f>
        <v>Character</v>
      </c>
      <c r="G139" s="4" t="str">
        <f t="shared" si="10"/>
        <v>Fine</v>
      </c>
      <c r="H139" s="4" t="str">
        <f t="shared" si="11"/>
        <v>Character</v>
      </c>
      <c r="I139" s="4" t="s">
        <v>87</v>
      </c>
      <c r="K139" s="4"/>
    </row>
    <row r="140" spans="1:11" x14ac:dyDescent="0.3">
      <c r="A140" t="s">
        <v>477</v>
      </c>
      <c r="B140" t="s">
        <v>277</v>
      </c>
      <c r="C140" t="s">
        <v>477</v>
      </c>
      <c r="D140">
        <v>0</v>
      </c>
      <c r="E140">
        <v>0</v>
      </c>
      <c r="F140" s="4" t="str">
        <f>'1a. Original Dataset Format'!B140</f>
        <v>Numeric</v>
      </c>
      <c r="G140" s="4" t="str">
        <f t="shared" si="10"/>
        <v>Fine</v>
      </c>
      <c r="H140" s="4" t="str">
        <f t="shared" si="11"/>
        <v>Numeric</v>
      </c>
      <c r="K140" s="4"/>
    </row>
    <row r="141" spans="1:11" x14ac:dyDescent="0.3">
      <c r="A141" t="s">
        <v>478</v>
      </c>
      <c r="B141" t="s">
        <v>276</v>
      </c>
      <c r="C141" t="s">
        <v>478</v>
      </c>
      <c r="D141">
        <v>0</v>
      </c>
      <c r="E141">
        <v>0</v>
      </c>
      <c r="F141" s="4" t="str">
        <f>'1a. Original Dataset Format'!B141</f>
        <v>Character</v>
      </c>
      <c r="G141" s="4" t="str">
        <f t="shared" si="10"/>
        <v>Fine</v>
      </c>
      <c r="H141" s="4" t="str">
        <f t="shared" si="11"/>
        <v>Character</v>
      </c>
      <c r="I141" s="4" t="s">
        <v>87</v>
      </c>
      <c r="K141" s="4"/>
    </row>
    <row r="142" spans="1:11" x14ac:dyDescent="0.3">
      <c r="A142" t="s">
        <v>479</v>
      </c>
      <c r="B142" t="s">
        <v>276</v>
      </c>
      <c r="C142" t="s">
        <v>479</v>
      </c>
      <c r="D142">
        <v>0</v>
      </c>
      <c r="E142">
        <v>0</v>
      </c>
      <c r="F142" s="4" t="str">
        <f>'1a. Original Dataset Format'!B142</f>
        <v>Character</v>
      </c>
      <c r="G142" s="4" t="str">
        <f t="shared" si="10"/>
        <v>Fine</v>
      </c>
      <c r="H142" s="4" t="str">
        <f t="shared" si="11"/>
        <v>Character</v>
      </c>
      <c r="J142" s="4" t="s">
        <v>87</v>
      </c>
      <c r="K142" s="4"/>
    </row>
    <row r="143" spans="1:11" x14ac:dyDescent="0.3">
      <c r="A143" t="s">
        <v>480</v>
      </c>
      <c r="B143" t="s">
        <v>276</v>
      </c>
      <c r="C143" t="s">
        <v>480</v>
      </c>
      <c r="D143">
        <v>0</v>
      </c>
      <c r="E143">
        <v>0</v>
      </c>
      <c r="F143" s="4" t="str">
        <f>'1a. Original Dataset Format'!B143</f>
        <v>Character</v>
      </c>
      <c r="G143" s="4" t="str">
        <f t="shared" si="10"/>
        <v>Fine</v>
      </c>
      <c r="H143" s="4" t="str">
        <f t="shared" si="11"/>
        <v>Character</v>
      </c>
      <c r="J143" s="4" t="s">
        <v>87</v>
      </c>
      <c r="K143" s="4"/>
    </row>
    <row r="144" spans="1:11" x14ac:dyDescent="0.3">
      <c r="A144" t="s">
        <v>481</v>
      </c>
      <c r="B144" t="s">
        <v>276</v>
      </c>
      <c r="C144" t="s">
        <v>481</v>
      </c>
      <c r="D144">
        <v>0</v>
      </c>
      <c r="E144">
        <v>0</v>
      </c>
      <c r="F144" s="4" t="str">
        <f>'1a. Original Dataset Format'!B144</f>
        <v>Character</v>
      </c>
      <c r="G144" s="4" t="str">
        <f t="shared" si="10"/>
        <v>Fine</v>
      </c>
      <c r="H144" s="4" t="str">
        <f t="shared" si="11"/>
        <v>Character</v>
      </c>
      <c r="J144" s="4" t="s">
        <v>87</v>
      </c>
      <c r="K144" s="4"/>
    </row>
    <row r="145" spans="1:11" x14ac:dyDescent="0.3">
      <c r="A145" t="s">
        <v>482</v>
      </c>
      <c r="B145" t="s">
        <v>276</v>
      </c>
      <c r="C145" t="s">
        <v>482</v>
      </c>
      <c r="D145">
        <v>0</v>
      </c>
      <c r="E145">
        <v>0</v>
      </c>
      <c r="F145" s="4" t="str">
        <f>'1a. Original Dataset Format'!B145</f>
        <v>Character</v>
      </c>
      <c r="G145" s="4" t="str">
        <f t="shared" si="10"/>
        <v>Fine</v>
      </c>
      <c r="H145" s="4" t="str">
        <f t="shared" si="11"/>
        <v>Character</v>
      </c>
      <c r="J145" s="4" t="s">
        <v>87</v>
      </c>
      <c r="K145" s="4"/>
    </row>
    <row r="146" spans="1:11" x14ac:dyDescent="0.3">
      <c r="A146" t="s">
        <v>483</v>
      </c>
      <c r="B146" t="s">
        <v>276</v>
      </c>
      <c r="C146" t="s">
        <v>483</v>
      </c>
      <c r="D146">
        <v>0</v>
      </c>
      <c r="E146">
        <v>0</v>
      </c>
      <c r="F146" s="4" t="str">
        <f>'1a. Original Dataset Format'!B146</f>
        <v>Character</v>
      </c>
      <c r="G146" s="4" t="str">
        <f t="shared" si="10"/>
        <v>Fine</v>
      </c>
      <c r="H146" s="4" t="str">
        <f t="shared" si="11"/>
        <v>Character</v>
      </c>
      <c r="I146" s="4" t="s">
        <v>87</v>
      </c>
      <c r="K146" s="4"/>
    </row>
    <row r="147" spans="1:11" x14ac:dyDescent="0.3">
      <c r="A147" t="s">
        <v>484</v>
      </c>
      <c r="B147" t="s">
        <v>276</v>
      </c>
      <c r="C147" t="s">
        <v>484</v>
      </c>
      <c r="D147">
        <v>0</v>
      </c>
      <c r="E147">
        <v>0</v>
      </c>
      <c r="F147" s="4" t="str">
        <f>'1a. Original Dataset Format'!B147</f>
        <v>Character</v>
      </c>
      <c r="G147" s="4" t="str">
        <f t="shared" si="10"/>
        <v>Fine</v>
      </c>
      <c r="H147" s="4" t="str">
        <f t="shared" si="11"/>
        <v>Character</v>
      </c>
      <c r="I147" s="4" t="s">
        <v>87</v>
      </c>
      <c r="K147" s="4"/>
    </row>
    <row r="148" spans="1:11" x14ac:dyDescent="0.3">
      <c r="A148" t="s">
        <v>485</v>
      </c>
      <c r="B148" t="s">
        <v>276</v>
      </c>
      <c r="C148" t="s">
        <v>485</v>
      </c>
      <c r="D148">
        <v>0</v>
      </c>
      <c r="E148">
        <v>0</v>
      </c>
      <c r="F148" s="4" t="str">
        <f>'1a. Original Dataset Format'!B148</f>
        <v>Character</v>
      </c>
      <c r="G148" s="4" t="str">
        <f t="shared" si="10"/>
        <v>Fine</v>
      </c>
      <c r="H148" s="4" t="str">
        <f t="shared" si="11"/>
        <v>Character</v>
      </c>
      <c r="I148" s="4" t="s">
        <v>87</v>
      </c>
      <c r="K148" s="4"/>
    </row>
    <row r="149" spans="1:11" x14ac:dyDescent="0.3">
      <c r="A149" t="s">
        <v>486</v>
      </c>
      <c r="B149" t="s">
        <v>277</v>
      </c>
      <c r="C149" t="s">
        <v>486</v>
      </c>
      <c r="D149">
        <v>0</v>
      </c>
      <c r="E149">
        <v>0</v>
      </c>
      <c r="F149" s="4" t="str">
        <f>'1a. Original Dataset Format'!B149</f>
        <v>Numeric</v>
      </c>
      <c r="G149" s="4" t="str">
        <f t="shared" si="10"/>
        <v>Fine</v>
      </c>
      <c r="H149" s="4" t="str">
        <f t="shared" si="11"/>
        <v>Numeric</v>
      </c>
      <c r="K149" s="4"/>
    </row>
    <row r="150" spans="1:11" x14ac:dyDescent="0.3">
      <c r="A150" t="s">
        <v>487</v>
      </c>
      <c r="B150" t="s">
        <v>276</v>
      </c>
      <c r="C150" t="s">
        <v>487</v>
      </c>
      <c r="D150">
        <v>0</v>
      </c>
      <c r="E150">
        <v>0</v>
      </c>
      <c r="F150" s="4" t="str">
        <f>'1a. Original Dataset Format'!B150</f>
        <v>Character</v>
      </c>
      <c r="G150" s="4" t="str">
        <f t="shared" si="10"/>
        <v>Fine</v>
      </c>
      <c r="H150" s="4" t="str">
        <f t="shared" si="11"/>
        <v>Character</v>
      </c>
      <c r="I150" s="4" t="s">
        <v>87</v>
      </c>
      <c r="K150" s="4"/>
    </row>
    <row r="151" spans="1:11" x14ac:dyDescent="0.3">
      <c r="A151" t="s">
        <v>488</v>
      </c>
      <c r="B151" t="s">
        <v>276</v>
      </c>
      <c r="C151" t="s">
        <v>488</v>
      </c>
      <c r="D151">
        <v>0</v>
      </c>
      <c r="E151">
        <v>0</v>
      </c>
      <c r="F151" s="4" t="str">
        <f>'1a. Original Dataset Format'!B151</f>
        <v>Character</v>
      </c>
      <c r="G151" s="4" t="str">
        <f t="shared" si="10"/>
        <v>Fine</v>
      </c>
      <c r="H151" s="4" t="str">
        <f t="shared" si="11"/>
        <v>Character</v>
      </c>
      <c r="J151" s="4" t="s">
        <v>87</v>
      </c>
      <c r="K151" s="4"/>
    </row>
    <row r="152" spans="1:11" x14ac:dyDescent="0.3">
      <c r="A152" t="s">
        <v>489</v>
      </c>
      <c r="B152" t="s">
        <v>276</v>
      </c>
      <c r="C152" t="s">
        <v>489</v>
      </c>
      <c r="D152">
        <v>0</v>
      </c>
      <c r="E152">
        <v>0</v>
      </c>
      <c r="F152" s="4" t="str">
        <f>'1a. Original Dataset Format'!B152</f>
        <v>Character</v>
      </c>
      <c r="G152" s="4" t="str">
        <f t="shared" si="10"/>
        <v>Fine</v>
      </c>
      <c r="H152" s="4" t="str">
        <f t="shared" si="11"/>
        <v>Character</v>
      </c>
      <c r="I152" s="4" t="s">
        <v>87</v>
      </c>
      <c r="K152" s="4"/>
    </row>
    <row r="153" spans="1:11" x14ac:dyDescent="0.3">
      <c r="A153" t="s">
        <v>490</v>
      </c>
      <c r="B153" t="s">
        <v>277</v>
      </c>
      <c r="C153" t="s">
        <v>490</v>
      </c>
      <c r="D153">
        <v>0</v>
      </c>
      <c r="E153">
        <v>0</v>
      </c>
      <c r="F153" s="4" t="str">
        <f>'1a. Original Dataset Format'!B153</f>
        <v>Numeric</v>
      </c>
      <c r="G153" s="4" t="str">
        <f t="shared" si="10"/>
        <v>Fine</v>
      </c>
      <c r="H153" s="4" t="str">
        <f t="shared" si="11"/>
        <v>Numeric</v>
      </c>
      <c r="I153" s="4" t="s">
        <v>87</v>
      </c>
      <c r="K153" s="4"/>
    </row>
    <row r="154" spans="1:11" x14ac:dyDescent="0.3">
      <c r="A154" t="s">
        <v>491</v>
      </c>
      <c r="B154" t="s">
        <v>276</v>
      </c>
      <c r="C154" t="s">
        <v>491</v>
      </c>
      <c r="D154">
        <v>0</v>
      </c>
      <c r="E154">
        <v>0</v>
      </c>
      <c r="F154" s="4" t="str">
        <f>'1a. Original Dataset Format'!B154</f>
        <v>Character</v>
      </c>
      <c r="G154" s="4" t="str">
        <f t="shared" si="10"/>
        <v>Fine</v>
      </c>
      <c r="H154" s="4" t="str">
        <f t="shared" si="11"/>
        <v>Character</v>
      </c>
      <c r="I154" s="4" t="s">
        <v>87</v>
      </c>
      <c r="K154" s="4"/>
    </row>
    <row r="155" spans="1:11" x14ac:dyDescent="0.3">
      <c r="A155" t="s">
        <v>492</v>
      </c>
      <c r="B155" t="s">
        <v>276</v>
      </c>
      <c r="C155" t="s">
        <v>492</v>
      </c>
      <c r="D155">
        <v>0</v>
      </c>
      <c r="E155">
        <v>0</v>
      </c>
      <c r="F155" s="4" t="str">
        <f>'1a. Original Dataset Format'!B155</f>
        <v>Character</v>
      </c>
      <c r="G155" s="4" t="str">
        <f t="shared" si="10"/>
        <v>Fine</v>
      </c>
      <c r="H155" s="4" t="str">
        <f t="shared" si="11"/>
        <v>Character</v>
      </c>
      <c r="I155" s="4" t="s">
        <v>87</v>
      </c>
      <c r="K155" s="4"/>
    </row>
    <row r="156" spans="1:11" x14ac:dyDescent="0.3">
      <c r="A156" t="s">
        <v>493</v>
      </c>
      <c r="B156" t="s">
        <v>276</v>
      </c>
      <c r="C156" t="s">
        <v>493</v>
      </c>
      <c r="D156">
        <v>0</v>
      </c>
      <c r="E156">
        <v>0</v>
      </c>
      <c r="F156" s="4" t="str">
        <f>'1a. Original Dataset Format'!B156</f>
        <v>Character</v>
      </c>
      <c r="G156" s="4" t="str">
        <f t="shared" si="10"/>
        <v>Fine</v>
      </c>
      <c r="H156" s="4" t="str">
        <f t="shared" si="11"/>
        <v>Character</v>
      </c>
      <c r="I156" s="4" t="s">
        <v>87</v>
      </c>
      <c r="K156" s="4"/>
    </row>
    <row r="157" spans="1:11" x14ac:dyDescent="0.3">
      <c r="A157" t="s">
        <v>494</v>
      </c>
      <c r="B157" t="s">
        <v>276</v>
      </c>
      <c r="C157" t="s">
        <v>494</v>
      </c>
      <c r="D157">
        <v>0</v>
      </c>
      <c r="E157">
        <v>0</v>
      </c>
      <c r="F157" s="4" t="str">
        <f>'1a. Original Dataset Format'!B157</f>
        <v>Character</v>
      </c>
      <c r="G157" s="4" t="str">
        <f t="shared" si="10"/>
        <v>Fine</v>
      </c>
      <c r="H157" s="4" t="str">
        <f t="shared" si="11"/>
        <v>Character</v>
      </c>
      <c r="I157" s="4" t="s">
        <v>87</v>
      </c>
      <c r="K157" s="4"/>
    </row>
    <row r="158" spans="1:11" x14ac:dyDescent="0.3">
      <c r="A158" t="s">
        <v>495</v>
      </c>
      <c r="B158" t="s">
        <v>276</v>
      </c>
      <c r="C158" t="s">
        <v>495</v>
      </c>
      <c r="D158">
        <v>0</v>
      </c>
      <c r="E158">
        <v>0</v>
      </c>
      <c r="F158" s="4" t="str">
        <f>'1a. Original Dataset Format'!B158</f>
        <v>Character</v>
      </c>
      <c r="G158" s="4" t="str">
        <f t="shared" si="10"/>
        <v>Fine</v>
      </c>
      <c r="H158" s="4" t="str">
        <f t="shared" si="11"/>
        <v>Character</v>
      </c>
      <c r="I158" s="4" t="s">
        <v>87</v>
      </c>
      <c r="K158" s="4"/>
    </row>
    <row r="159" spans="1:11" x14ac:dyDescent="0.3">
      <c r="A159" t="s">
        <v>496</v>
      </c>
      <c r="B159" t="s">
        <v>276</v>
      </c>
      <c r="C159" t="s">
        <v>496</v>
      </c>
      <c r="D159">
        <v>0</v>
      </c>
      <c r="E159">
        <v>0</v>
      </c>
      <c r="F159" s="4" t="str">
        <f>'1a. Original Dataset Format'!B159</f>
        <v>Character</v>
      </c>
      <c r="G159" s="4" t="str">
        <f t="shared" si="10"/>
        <v>Fine</v>
      </c>
      <c r="H159" s="4" t="str">
        <f t="shared" si="11"/>
        <v>Character</v>
      </c>
      <c r="I159" s="4" t="s">
        <v>87</v>
      </c>
      <c r="K159" s="4"/>
    </row>
    <row r="160" spans="1:11" x14ac:dyDescent="0.3">
      <c r="A160" t="s">
        <v>497</v>
      </c>
      <c r="B160" t="s">
        <v>276</v>
      </c>
      <c r="C160" t="s">
        <v>497</v>
      </c>
      <c r="D160">
        <v>0</v>
      </c>
      <c r="E160">
        <v>0</v>
      </c>
      <c r="F160" s="4" t="str">
        <f>'1a. Original Dataset Format'!B160</f>
        <v>Character</v>
      </c>
      <c r="G160" s="4" t="str">
        <f t="shared" si="10"/>
        <v>Fine</v>
      </c>
      <c r="H160" s="4" t="str">
        <f t="shared" si="11"/>
        <v>Character</v>
      </c>
      <c r="I160" s="4" t="s">
        <v>87</v>
      </c>
      <c r="K160" s="4"/>
    </row>
    <row r="161" spans="1:11" x14ac:dyDescent="0.3">
      <c r="A161" t="s">
        <v>498</v>
      </c>
      <c r="B161" t="s">
        <v>276</v>
      </c>
      <c r="C161" t="s">
        <v>498</v>
      </c>
      <c r="D161">
        <v>0</v>
      </c>
      <c r="E161">
        <v>0</v>
      </c>
      <c r="F161" s="4" t="str">
        <f>'1a. Original Dataset Format'!B161</f>
        <v>Character</v>
      </c>
      <c r="G161" s="4" t="str">
        <f t="shared" si="10"/>
        <v>Fine</v>
      </c>
      <c r="H161" s="4" t="str">
        <f t="shared" si="11"/>
        <v>Character</v>
      </c>
      <c r="I161" s="4" t="s">
        <v>87</v>
      </c>
      <c r="K161" s="4"/>
    </row>
    <row r="162" spans="1:11" x14ac:dyDescent="0.3">
      <c r="A162" t="s">
        <v>499</v>
      </c>
      <c r="B162" t="s">
        <v>276</v>
      </c>
      <c r="C162" t="s">
        <v>499</v>
      </c>
      <c r="D162">
        <v>0</v>
      </c>
      <c r="E162">
        <v>0</v>
      </c>
      <c r="F162" s="4" t="str">
        <f>'1a. Original Dataset Format'!B162</f>
        <v>Character</v>
      </c>
      <c r="G162" s="4" t="str">
        <f t="shared" si="10"/>
        <v>Fine</v>
      </c>
      <c r="H162" s="4" t="str">
        <f t="shared" si="11"/>
        <v>Character</v>
      </c>
      <c r="I162" s="4" t="s">
        <v>87</v>
      </c>
      <c r="K162" s="4"/>
    </row>
    <row r="163" spans="1:11" x14ac:dyDescent="0.3">
      <c r="A163" t="s">
        <v>500</v>
      </c>
      <c r="B163" t="s">
        <v>276</v>
      </c>
      <c r="C163" t="s">
        <v>500</v>
      </c>
      <c r="D163">
        <v>0</v>
      </c>
      <c r="E163">
        <v>0</v>
      </c>
      <c r="F163" s="4" t="str">
        <f>'1a. Original Dataset Format'!B163</f>
        <v>Character</v>
      </c>
      <c r="G163" s="4" t="str">
        <f t="shared" si="10"/>
        <v>Fine</v>
      </c>
      <c r="H163" s="4" t="str">
        <f t="shared" si="11"/>
        <v>Character</v>
      </c>
      <c r="I163" s="4" t="s">
        <v>87</v>
      </c>
      <c r="K163" s="4"/>
    </row>
    <row r="164" spans="1:11" x14ac:dyDescent="0.3">
      <c r="A164" t="s">
        <v>501</v>
      </c>
      <c r="B164" t="s">
        <v>276</v>
      </c>
      <c r="C164" t="s">
        <v>501</v>
      </c>
      <c r="D164">
        <v>0</v>
      </c>
      <c r="E164">
        <v>0</v>
      </c>
      <c r="F164" s="4" t="str">
        <f>'1a. Original Dataset Format'!B164</f>
        <v>Character</v>
      </c>
      <c r="G164" s="4" t="str">
        <f t="shared" si="10"/>
        <v>Fine</v>
      </c>
      <c r="H164" s="4" t="str">
        <f t="shared" si="11"/>
        <v>Character</v>
      </c>
      <c r="I164" s="4" t="s">
        <v>87</v>
      </c>
      <c r="K164" s="4"/>
    </row>
    <row r="165" spans="1:11" x14ac:dyDescent="0.3">
      <c r="A165" t="s">
        <v>502</v>
      </c>
      <c r="B165" t="s">
        <v>276</v>
      </c>
      <c r="C165" t="s">
        <v>502</v>
      </c>
      <c r="D165">
        <v>0</v>
      </c>
      <c r="E165">
        <v>0</v>
      </c>
      <c r="F165" s="4" t="str">
        <f>'1a. Original Dataset Format'!B165</f>
        <v>Character</v>
      </c>
      <c r="G165" s="4" t="str">
        <f t="shared" si="10"/>
        <v>Fine</v>
      </c>
      <c r="H165" s="4" t="str">
        <f t="shared" si="11"/>
        <v>Character</v>
      </c>
      <c r="J165" s="4" t="s">
        <v>87</v>
      </c>
      <c r="K165" s="4"/>
    </row>
    <row r="166" spans="1:11" x14ac:dyDescent="0.3">
      <c r="A166" t="s">
        <v>503</v>
      </c>
      <c r="B166" t="s">
        <v>276</v>
      </c>
      <c r="C166" t="s">
        <v>503</v>
      </c>
      <c r="D166">
        <v>0</v>
      </c>
      <c r="E166">
        <v>0</v>
      </c>
      <c r="F166" s="4" t="str">
        <f>'1a. Original Dataset Format'!B166</f>
        <v>Character</v>
      </c>
      <c r="G166" s="4" t="str">
        <f t="shared" ref="G166:G229" si="12">IF(F166="Character",IF(OR(B166="factor",B166="character"),"Fine","ERROR"),IF(F166="Numeric",IF(OR(B166="numeric",B166="integer"),"Fine","ERROR"),IF(F166="Date","Ignore","CHECK")))</f>
        <v>Fine</v>
      </c>
      <c r="H166" s="4" t="str">
        <f t="shared" ref="H166:H229" si="13">IF(G166="error","Numeric",F166)</f>
        <v>Character</v>
      </c>
      <c r="I166" s="4" t="s">
        <v>87</v>
      </c>
      <c r="K166" s="4"/>
    </row>
    <row r="167" spans="1:11" x14ac:dyDescent="0.3">
      <c r="A167" t="s">
        <v>504</v>
      </c>
      <c r="B167" t="s">
        <v>276</v>
      </c>
      <c r="C167" t="s">
        <v>504</v>
      </c>
      <c r="D167">
        <v>0</v>
      </c>
      <c r="E167">
        <v>0</v>
      </c>
      <c r="F167" s="4" t="str">
        <f>'1a. Original Dataset Format'!B167</f>
        <v>Character</v>
      </c>
      <c r="G167" s="4" t="str">
        <f t="shared" si="12"/>
        <v>Fine</v>
      </c>
      <c r="H167" s="4" t="str">
        <f t="shared" si="13"/>
        <v>Character</v>
      </c>
      <c r="J167" s="4" t="s">
        <v>87</v>
      </c>
      <c r="K167" s="4"/>
    </row>
    <row r="168" spans="1:11" x14ac:dyDescent="0.3">
      <c r="A168" t="s">
        <v>505</v>
      </c>
      <c r="B168" t="s">
        <v>276</v>
      </c>
      <c r="C168" t="s">
        <v>505</v>
      </c>
      <c r="D168">
        <v>0</v>
      </c>
      <c r="E168">
        <v>0</v>
      </c>
      <c r="F168" s="4" t="str">
        <f>'1a. Original Dataset Format'!B168</f>
        <v>Character</v>
      </c>
      <c r="G168" s="4" t="str">
        <f t="shared" si="12"/>
        <v>Fine</v>
      </c>
      <c r="H168" s="4" t="str">
        <f t="shared" si="13"/>
        <v>Character</v>
      </c>
      <c r="J168" s="4" t="s">
        <v>87</v>
      </c>
      <c r="K168" s="4"/>
    </row>
    <row r="169" spans="1:11" x14ac:dyDescent="0.3">
      <c r="A169" t="s">
        <v>506</v>
      </c>
      <c r="B169" t="s">
        <v>276</v>
      </c>
      <c r="C169" t="s">
        <v>506</v>
      </c>
      <c r="D169">
        <v>0</v>
      </c>
      <c r="E169">
        <v>0</v>
      </c>
      <c r="F169" s="4" t="str">
        <f>'1a. Original Dataset Format'!B169</f>
        <v>Date</v>
      </c>
      <c r="G169" s="4" t="str">
        <f t="shared" si="12"/>
        <v>Ignore</v>
      </c>
      <c r="H169" s="4" t="str">
        <f t="shared" si="13"/>
        <v>Date</v>
      </c>
      <c r="I169" s="4" t="s">
        <v>87</v>
      </c>
      <c r="K169" s="4"/>
    </row>
    <row r="170" spans="1:11" x14ac:dyDescent="0.3">
      <c r="A170" t="s">
        <v>507</v>
      </c>
      <c r="B170" t="s">
        <v>277</v>
      </c>
      <c r="C170" t="s">
        <v>507</v>
      </c>
      <c r="D170">
        <v>0</v>
      </c>
      <c r="E170">
        <v>0</v>
      </c>
      <c r="F170" s="4" t="str">
        <f>'1a. Original Dataset Format'!B170</f>
        <v>Numeric</v>
      </c>
      <c r="G170" s="4" t="str">
        <f t="shared" si="12"/>
        <v>Fine</v>
      </c>
      <c r="H170" s="4" t="str">
        <f t="shared" si="13"/>
        <v>Numeric</v>
      </c>
      <c r="I170" s="4" t="s">
        <v>87</v>
      </c>
      <c r="K170" s="4"/>
    </row>
    <row r="171" spans="1:11" x14ac:dyDescent="0.3">
      <c r="A171" t="s">
        <v>508</v>
      </c>
      <c r="B171" t="s">
        <v>276</v>
      </c>
      <c r="C171" t="s">
        <v>508</v>
      </c>
      <c r="D171">
        <v>0</v>
      </c>
      <c r="E171">
        <v>0</v>
      </c>
      <c r="F171" s="4" t="str">
        <f>'1a. Original Dataset Format'!B171</f>
        <v>Character</v>
      </c>
      <c r="G171" s="4" t="str">
        <f t="shared" si="12"/>
        <v>Fine</v>
      </c>
      <c r="H171" s="4" t="str">
        <f t="shared" si="13"/>
        <v>Character</v>
      </c>
      <c r="I171" s="4" t="s">
        <v>87</v>
      </c>
      <c r="K171" s="4"/>
    </row>
    <row r="172" spans="1:11" x14ac:dyDescent="0.3">
      <c r="A172" t="s">
        <v>509</v>
      </c>
      <c r="B172" t="s">
        <v>276</v>
      </c>
      <c r="C172" t="s">
        <v>509</v>
      </c>
      <c r="D172">
        <v>0</v>
      </c>
      <c r="E172">
        <v>0</v>
      </c>
      <c r="F172" s="4" t="str">
        <f>'1a. Original Dataset Format'!B172</f>
        <v>Character</v>
      </c>
      <c r="G172" s="4" t="str">
        <f t="shared" si="12"/>
        <v>Fine</v>
      </c>
      <c r="H172" s="4" t="str">
        <f t="shared" si="13"/>
        <v>Character</v>
      </c>
      <c r="J172" s="4" t="s">
        <v>87</v>
      </c>
      <c r="K172" s="4"/>
    </row>
    <row r="173" spans="1:11" x14ac:dyDescent="0.3">
      <c r="A173" t="s">
        <v>510</v>
      </c>
      <c r="B173" t="s">
        <v>276</v>
      </c>
      <c r="C173" t="s">
        <v>510</v>
      </c>
      <c r="D173">
        <v>0</v>
      </c>
      <c r="E173">
        <v>0</v>
      </c>
      <c r="F173" s="4" t="str">
        <f>'1a. Original Dataset Format'!B173</f>
        <v>Character</v>
      </c>
      <c r="G173" s="4" t="str">
        <f t="shared" si="12"/>
        <v>Fine</v>
      </c>
      <c r="H173" s="4" t="str">
        <f t="shared" si="13"/>
        <v>Character</v>
      </c>
      <c r="J173" s="4" t="s">
        <v>87</v>
      </c>
      <c r="K173" s="4"/>
    </row>
    <row r="174" spans="1:11" x14ac:dyDescent="0.3">
      <c r="A174" t="s">
        <v>511</v>
      </c>
      <c r="B174" t="s">
        <v>276</v>
      </c>
      <c r="C174" t="s">
        <v>511</v>
      </c>
      <c r="D174">
        <v>0</v>
      </c>
      <c r="E174">
        <v>0</v>
      </c>
      <c r="F174" s="4" t="str">
        <f>'1a. Original Dataset Format'!B174</f>
        <v>Date</v>
      </c>
      <c r="G174" s="4" t="str">
        <f t="shared" si="12"/>
        <v>Ignore</v>
      </c>
      <c r="H174" s="4" t="str">
        <f t="shared" si="13"/>
        <v>Date</v>
      </c>
      <c r="I174" s="4" t="s">
        <v>87</v>
      </c>
      <c r="K174" s="4"/>
    </row>
    <row r="175" spans="1:11" x14ac:dyDescent="0.3">
      <c r="A175" t="s">
        <v>512</v>
      </c>
      <c r="B175" t="s">
        <v>277</v>
      </c>
      <c r="C175" t="s">
        <v>512</v>
      </c>
      <c r="D175">
        <v>0</v>
      </c>
      <c r="E175">
        <v>0</v>
      </c>
      <c r="F175" s="4" t="str">
        <f>'1a. Original Dataset Format'!B175</f>
        <v>Numeric</v>
      </c>
      <c r="G175" s="4" t="str">
        <f t="shared" si="12"/>
        <v>Fine</v>
      </c>
      <c r="H175" s="4" t="str">
        <f t="shared" si="13"/>
        <v>Numeric</v>
      </c>
      <c r="I175" s="4" t="s">
        <v>87</v>
      </c>
      <c r="K175" s="4"/>
    </row>
    <row r="176" spans="1:11" x14ac:dyDescent="0.3">
      <c r="A176" t="s">
        <v>513</v>
      </c>
      <c r="B176" t="s">
        <v>276</v>
      </c>
      <c r="C176" t="s">
        <v>513</v>
      </c>
      <c r="D176">
        <v>0</v>
      </c>
      <c r="E176">
        <v>0</v>
      </c>
      <c r="F176" s="4" t="str">
        <f>'1a. Original Dataset Format'!B176</f>
        <v>Character</v>
      </c>
      <c r="G176" s="4" t="str">
        <f t="shared" si="12"/>
        <v>Fine</v>
      </c>
      <c r="H176" s="4" t="str">
        <f t="shared" si="13"/>
        <v>Character</v>
      </c>
      <c r="I176" s="4" t="s">
        <v>87</v>
      </c>
      <c r="K176" s="4"/>
    </row>
    <row r="177" spans="1:11" x14ac:dyDescent="0.3">
      <c r="A177" t="s">
        <v>514</v>
      </c>
      <c r="B177" t="s">
        <v>276</v>
      </c>
      <c r="C177" t="s">
        <v>514</v>
      </c>
      <c r="D177">
        <v>0</v>
      </c>
      <c r="E177">
        <v>0</v>
      </c>
      <c r="F177" s="4" t="str">
        <f>'1a. Original Dataset Format'!B177</f>
        <v>Character</v>
      </c>
      <c r="G177" s="4" t="str">
        <f t="shared" si="12"/>
        <v>Fine</v>
      </c>
      <c r="H177" s="4" t="str">
        <f t="shared" si="13"/>
        <v>Character</v>
      </c>
      <c r="J177" s="4" t="s">
        <v>87</v>
      </c>
      <c r="K177" s="4"/>
    </row>
    <row r="178" spans="1:11" x14ac:dyDescent="0.3">
      <c r="A178" t="s">
        <v>515</v>
      </c>
      <c r="B178" t="s">
        <v>276</v>
      </c>
      <c r="C178" t="s">
        <v>515</v>
      </c>
      <c r="D178">
        <v>0</v>
      </c>
      <c r="E178">
        <v>0</v>
      </c>
      <c r="F178" s="4" t="str">
        <f>'1a. Original Dataset Format'!B178</f>
        <v>Character</v>
      </c>
      <c r="G178" s="4" t="str">
        <f t="shared" si="12"/>
        <v>Fine</v>
      </c>
      <c r="H178" s="4" t="str">
        <f t="shared" si="13"/>
        <v>Character</v>
      </c>
      <c r="J178" s="4" t="s">
        <v>87</v>
      </c>
      <c r="K178" s="4"/>
    </row>
    <row r="179" spans="1:11" x14ac:dyDescent="0.3">
      <c r="A179" t="s">
        <v>516</v>
      </c>
      <c r="B179" t="s">
        <v>276</v>
      </c>
      <c r="C179" t="s">
        <v>516</v>
      </c>
      <c r="D179">
        <v>0</v>
      </c>
      <c r="E179">
        <v>0</v>
      </c>
      <c r="F179" s="4" t="str">
        <f>'1a. Original Dataset Format'!B179</f>
        <v>Date</v>
      </c>
      <c r="G179" s="4" t="str">
        <f t="shared" si="12"/>
        <v>Ignore</v>
      </c>
      <c r="H179" s="4" t="str">
        <f t="shared" si="13"/>
        <v>Date</v>
      </c>
      <c r="I179" s="4" t="s">
        <v>87</v>
      </c>
      <c r="K179" s="4"/>
    </row>
    <row r="180" spans="1:11" x14ac:dyDescent="0.3">
      <c r="A180" t="s">
        <v>517</v>
      </c>
      <c r="B180" t="s">
        <v>277</v>
      </c>
      <c r="C180" t="s">
        <v>517</v>
      </c>
      <c r="D180">
        <v>0</v>
      </c>
      <c r="E180">
        <v>0</v>
      </c>
      <c r="F180" s="4" t="str">
        <f>'1a. Original Dataset Format'!B180</f>
        <v>Numeric</v>
      </c>
      <c r="G180" s="4" t="str">
        <f t="shared" si="12"/>
        <v>Fine</v>
      </c>
      <c r="H180" s="4" t="str">
        <f t="shared" si="13"/>
        <v>Numeric</v>
      </c>
      <c r="I180" s="4" t="s">
        <v>87</v>
      </c>
      <c r="K180" s="4"/>
    </row>
    <row r="181" spans="1:11" x14ac:dyDescent="0.3">
      <c r="A181" t="s">
        <v>518</v>
      </c>
      <c r="B181" t="s">
        <v>276</v>
      </c>
      <c r="C181" t="s">
        <v>518</v>
      </c>
      <c r="D181">
        <v>0</v>
      </c>
      <c r="E181">
        <v>0</v>
      </c>
      <c r="F181" s="4" t="str">
        <f>'1a. Original Dataset Format'!B181</f>
        <v>Character</v>
      </c>
      <c r="G181" s="4" t="str">
        <f t="shared" si="12"/>
        <v>Fine</v>
      </c>
      <c r="H181" s="4" t="str">
        <f t="shared" si="13"/>
        <v>Character</v>
      </c>
      <c r="I181" s="4" t="s">
        <v>87</v>
      </c>
      <c r="K181" s="4"/>
    </row>
    <row r="182" spans="1:11" x14ac:dyDescent="0.3">
      <c r="A182" t="s">
        <v>519</v>
      </c>
      <c r="B182" t="s">
        <v>276</v>
      </c>
      <c r="C182" t="s">
        <v>519</v>
      </c>
      <c r="D182">
        <v>0</v>
      </c>
      <c r="E182">
        <v>0</v>
      </c>
      <c r="F182" s="4" t="str">
        <f>'1a. Original Dataset Format'!B182</f>
        <v>Character</v>
      </c>
      <c r="G182" s="4" t="str">
        <f t="shared" si="12"/>
        <v>Fine</v>
      </c>
      <c r="H182" s="4" t="str">
        <f t="shared" si="13"/>
        <v>Character</v>
      </c>
      <c r="J182" s="4" t="s">
        <v>87</v>
      </c>
      <c r="K182" s="4"/>
    </row>
    <row r="183" spans="1:11" x14ac:dyDescent="0.3">
      <c r="A183" t="s">
        <v>520</v>
      </c>
      <c r="B183" t="s">
        <v>276</v>
      </c>
      <c r="C183" t="s">
        <v>520</v>
      </c>
      <c r="D183">
        <v>0</v>
      </c>
      <c r="E183">
        <v>0</v>
      </c>
      <c r="F183" s="4" t="str">
        <f>'1a. Original Dataset Format'!B183</f>
        <v>Character</v>
      </c>
      <c r="G183" s="4" t="str">
        <f t="shared" si="12"/>
        <v>Fine</v>
      </c>
      <c r="H183" s="4" t="str">
        <f t="shared" si="13"/>
        <v>Character</v>
      </c>
      <c r="J183" s="4" t="s">
        <v>87</v>
      </c>
      <c r="K183" s="4"/>
    </row>
    <row r="184" spans="1:11" x14ac:dyDescent="0.3">
      <c r="A184" t="s">
        <v>521</v>
      </c>
      <c r="B184" t="s">
        <v>276</v>
      </c>
      <c r="C184" t="s">
        <v>521</v>
      </c>
      <c r="D184">
        <v>0</v>
      </c>
      <c r="E184">
        <v>0</v>
      </c>
      <c r="F184" s="4" t="str">
        <f>'1a. Original Dataset Format'!B184</f>
        <v>Date</v>
      </c>
      <c r="G184" s="4" t="str">
        <f t="shared" si="12"/>
        <v>Ignore</v>
      </c>
      <c r="H184" s="4" t="str">
        <f t="shared" si="13"/>
        <v>Date</v>
      </c>
      <c r="I184" s="4" t="s">
        <v>87</v>
      </c>
      <c r="K184" s="4"/>
    </row>
    <row r="185" spans="1:11" x14ac:dyDescent="0.3">
      <c r="A185" t="s">
        <v>522</v>
      </c>
      <c r="B185" t="s">
        <v>277</v>
      </c>
      <c r="C185" t="s">
        <v>522</v>
      </c>
      <c r="D185">
        <v>0</v>
      </c>
      <c r="E185">
        <v>0</v>
      </c>
      <c r="F185" s="4" t="str">
        <f>'1a. Original Dataset Format'!B185</f>
        <v>Numeric</v>
      </c>
      <c r="G185" s="4" t="str">
        <f t="shared" si="12"/>
        <v>Fine</v>
      </c>
      <c r="H185" s="4" t="str">
        <f t="shared" si="13"/>
        <v>Numeric</v>
      </c>
      <c r="I185" s="4" t="s">
        <v>87</v>
      </c>
      <c r="K185" s="4"/>
    </row>
    <row r="186" spans="1:11" x14ac:dyDescent="0.3">
      <c r="A186" t="s">
        <v>523</v>
      </c>
      <c r="B186" t="s">
        <v>276</v>
      </c>
      <c r="C186" t="s">
        <v>523</v>
      </c>
      <c r="D186">
        <v>0</v>
      </c>
      <c r="E186">
        <v>0</v>
      </c>
      <c r="F186" s="4" t="str">
        <f>'1a. Original Dataset Format'!B186</f>
        <v>Character</v>
      </c>
      <c r="G186" s="4" t="str">
        <f t="shared" si="12"/>
        <v>Fine</v>
      </c>
      <c r="H186" s="4" t="str">
        <f t="shared" si="13"/>
        <v>Character</v>
      </c>
      <c r="I186" s="4" t="s">
        <v>87</v>
      </c>
      <c r="K186" s="4"/>
    </row>
    <row r="187" spans="1:11" x14ac:dyDescent="0.3">
      <c r="A187" t="s">
        <v>524</v>
      </c>
      <c r="B187" t="s">
        <v>276</v>
      </c>
      <c r="C187" t="s">
        <v>524</v>
      </c>
      <c r="D187">
        <v>0</v>
      </c>
      <c r="E187">
        <v>0</v>
      </c>
      <c r="F187" s="4" t="str">
        <f>'1a. Original Dataset Format'!B187</f>
        <v>Character</v>
      </c>
      <c r="G187" s="4" t="str">
        <f t="shared" si="12"/>
        <v>Fine</v>
      </c>
      <c r="H187" s="4" t="str">
        <f t="shared" si="13"/>
        <v>Character</v>
      </c>
      <c r="J187" s="4" t="s">
        <v>87</v>
      </c>
      <c r="K187" s="4"/>
    </row>
    <row r="188" spans="1:11" x14ac:dyDescent="0.3">
      <c r="A188" t="s">
        <v>525</v>
      </c>
      <c r="B188" t="s">
        <v>276</v>
      </c>
      <c r="C188" t="s">
        <v>525</v>
      </c>
      <c r="D188">
        <v>0</v>
      </c>
      <c r="E188">
        <v>0</v>
      </c>
      <c r="F188" s="4" t="str">
        <f>'1a. Original Dataset Format'!B188</f>
        <v>Character</v>
      </c>
      <c r="G188" s="4" t="str">
        <f t="shared" si="12"/>
        <v>Fine</v>
      </c>
      <c r="H188" s="4" t="str">
        <f t="shared" si="13"/>
        <v>Character</v>
      </c>
      <c r="J188" s="4" t="s">
        <v>87</v>
      </c>
      <c r="K188" s="4"/>
    </row>
    <row r="189" spans="1:11" x14ac:dyDescent="0.3">
      <c r="A189" t="s">
        <v>526</v>
      </c>
      <c r="B189" t="s">
        <v>276</v>
      </c>
      <c r="C189" t="s">
        <v>526</v>
      </c>
      <c r="D189">
        <v>0</v>
      </c>
      <c r="E189">
        <v>0</v>
      </c>
      <c r="F189" s="4" t="str">
        <f>'1a. Original Dataset Format'!B189</f>
        <v>Date</v>
      </c>
      <c r="G189" s="4" t="str">
        <f t="shared" si="12"/>
        <v>Ignore</v>
      </c>
      <c r="H189" s="4" t="str">
        <f t="shared" si="13"/>
        <v>Date</v>
      </c>
      <c r="I189" s="4" t="s">
        <v>87</v>
      </c>
      <c r="K189" s="4"/>
    </row>
    <row r="190" spans="1:11" x14ac:dyDescent="0.3">
      <c r="A190" t="s">
        <v>527</v>
      </c>
      <c r="B190" t="s">
        <v>277</v>
      </c>
      <c r="C190" t="s">
        <v>527</v>
      </c>
      <c r="D190">
        <v>0</v>
      </c>
      <c r="E190">
        <v>0</v>
      </c>
      <c r="F190" s="4" t="str">
        <f>'1a. Original Dataset Format'!B190</f>
        <v>Numeric</v>
      </c>
      <c r="G190" s="4" t="str">
        <f t="shared" si="12"/>
        <v>Fine</v>
      </c>
      <c r="H190" s="4" t="str">
        <f t="shared" si="13"/>
        <v>Numeric</v>
      </c>
      <c r="I190" s="4" t="s">
        <v>87</v>
      </c>
      <c r="K190" s="4"/>
    </row>
    <row r="191" spans="1:11" x14ac:dyDescent="0.3">
      <c r="A191" t="s">
        <v>528</v>
      </c>
      <c r="B191" t="s">
        <v>276</v>
      </c>
      <c r="C191" t="s">
        <v>528</v>
      </c>
      <c r="D191">
        <v>0</v>
      </c>
      <c r="E191">
        <v>0</v>
      </c>
      <c r="F191" s="4" t="str">
        <f>'1a. Original Dataset Format'!B191</f>
        <v>Character</v>
      </c>
      <c r="G191" s="4" t="str">
        <f t="shared" si="12"/>
        <v>Fine</v>
      </c>
      <c r="H191" s="4" t="str">
        <f t="shared" si="13"/>
        <v>Character</v>
      </c>
      <c r="I191" s="4" t="s">
        <v>87</v>
      </c>
      <c r="K191" s="4"/>
    </row>
    <row r="192" spans="1:11" x14ac:dyDescent="0.3">
      <c r="A192" t="s">
        <v>529</v>
      </c>
      <c r="B192" t="s">
        <v>276</v>
      </c>
      <c r="C192" t="s">
        <v>529</v>
      </c>
      <c r="D192">
        <v>0</v>
      </c>
      <c r="E192">
        <v>0</v>
      </c>
      <c r="F192" s="4" t="str">
        <f>'1a. Original Dataset Format'!B192</f>
        <v>Character</v>
      </c>
      <c r="G192" s="4" t="str">
        <f t="shared" si="12"/>
        <v>Fine</v>
      </c>
      <c r="H192" s="4" t="str">
        <f t="shared" si="13"/>
        <v>Character</v>
      </c>
      <c r="J192" s="4" t="s">
        <v>87</v>
      </c>
      <c r="K192" s="4"/>
    </row>
    <row r="193" spans="1:11" x14ac:dyDescent="0.3">
      <c r="A193" t="s">
        <v>530</v>
      </c>
      <c r="B193" t="s">
        <v>276</v>
      </c>
      <c r="C193" t="s">
        <v>530</v>
      </c>
      <c r="D193">
        <v>0</v>
      </c>
      <c r="E193">
        <v>0</v>
      </c>
      <c r="F193" s="4" t="str">
        <f>'1a. Original Dataset Format'!B193</f>
        <v>Character</v>
      </c>
      <c r="G193" s="4" t="str">
        <f t="shared" si="12"/>
        <v>Fine</v>
      </c>
      <c r="H193" s="4" t="str">
        <f t="shared" si="13"/>
        <v>Character</v>
      </c>
      <c r="J193" s="4" t="s">
        <v>87</v>
      </c>
      <c r="K193" s="4"/>
    </row>
    <row r="194" spans="1:11" x14ac:dyDescent="0.3">
      <c r="A194" t="s">
        <v>531</v>
      </c>
      <c r="B194" t="s">
        <v>276</v>
      </c>
      <c r="C194" t="s">
        <v>531</v>
      </c>
      <c r="D194">
        <v>0</v>
      </c>
      <c r="E194">
        <v>0</v>
      </c>
      <c r="F194" s="4" t="str">
        <f>'1a. Original Dataset Format'!B194</f>
        <v>Date</v>
      </c>
      <c r="G194" s="4" t="str">
        <f t="shared" si="12"/>
        <v>Ignore</v>
      </c>
      <c r="H194" s="4" t="str">
        <f t="shared" si="13"/>
        <v>Date</v>
      </c>
      <c r="I194" s="4" t="s">
        <v>87</v>
      </c>
      <c r="K194" s="4"/>
    </row>
    <row r="195" spans="1:11" x14ac:dyDescent="0.3">
      <c r="A195" t="s">
        <v>532</v>
      </c>
      <c r="B195" t="s">
        <v>263</v>
      </c>
      <c r="C195" t="s">
        <v>532</v>
      </c>
      <c r="D195">
        <v>0</v>
      </c>
      <c r="E195">
        <v>0</v>
      </c>
      <c r="F195" s="4" t="str">
        <f>'1a. Original Dataset Format'!B195</f>
        <v>Numeric</v>
      </c>
      <c r="G195" s="4" t="str">
        <f t="shared" si="12"/>
        <v>Fine</v>
      </c>
      <c r="H195" s="4" t="str">
        <f t="shared" si="13"/>
        <v>Numeric</v>
      </c>
      <c r="I195" s="4" t="s">
        <v>87</v>
      </c>
      <c r="K195" s="4"/>
    </row>
    <row r="196" spans="1:11" x14ac:dyDescent="0.3">
      <c r="A196" t="s">
        <v>534</v>
      </c>
      <c r="B196" t="s">
        <v>276</v>
      </c>
      <c r="C196" t="s">
        <v>534</v>
      </c>
      <c r="D196">
        <v>0</v>
      </c>
      <c r="E196">
        <v>0</v>
      </c>
      <c r="F196" s="4" t="str">
        <f>'1a. Original Dataset Format'!B196</f>
        <v>Character</v>
      </c>
      <c r="G196" s="4" t="str">
        <f t="shared" si="12"/>
        <v>Fine</v>
      </c>
      <c r="H196" s="4" t="str">
        <f t="shared" si="13"/>
        <v>Character</v>
      </c>
      <c r="I196" s="4" t="s">
        <v>87</v>
      </c>
      <c r="K196" s="4"/>
    </row>
    <row r="197" spans="1:11" x14ac:dyDescent="0.3">
      <c r="A197" t="s">
        <v>535</v>
      </c>
      <c r="B197" t="s">
        <v>276</v>
      </c>
      <c r="C197" t="s">
        <v>535</v>
      </c>
      <c r="D197">
        <v>0</v>
      </c>
      <c r="E197">
        <v>0</v>
      </c>
      <c r="F197" s="4" t="str">
        <f>'1a. Original Dataset Format'!B197</f>
        <v>Character</v>
      </c>
      <c r="G197" s="4" t="str">
        <f t="shared" si="12"/>
        <v>Fine</v>
      </c>
      <c r="H197" s="4" t="str">
        <f t="shared" si="13"/>
        <v>Character</v>
      </c>
      <c r="J197" s="4" t="s">
        <v>87</v>
      </c>
      <c r="K197" s="4"/>
    </row>
    <row r="198" spans="1:11" x14ac:dyDescent="0.3">
      <c r="A198" t="s">
        <v>536</v>
      </c>
      <c r="B198" t="s">
        <v>276</v>
      </c>
      <c r="C198" t="s">
        <v>536</v>
      </c>
      <c r="D198">
        <v>0</v>
      </c>
      <c r="E198">
        <v>0</v>
      </c>
      <c r="F198" s="4" t="str">
        <f>'1a. Original Dataset Format'!B198</f>
        <v>Character</v>
      </c>
      <c r="G198" s="4" t="str">
        <f t="shared" si="12"/>
        <v>Fine</v>
      </c>
      <c r="H198" s="4" t="str">
        <f t="shared" si="13"/>
        <v>Character</v>
      </c>
      <c r="J198" s="4" t="s">
        <v>87</v>
      </c>
      <c r="K198" s="4"/>
    </row>
    <row r="199" spans="1:11" x14ac:dyDescent="0.3">
      <c r="A199" t="s">
        <v>537</v>
      </c>
      <c r="B199" t="s">
        <v>276</v>
      </c>
      <c r="C199" t="s">
        <v>537</v>
      </c>
      <c r="D199">
        <v>0</v>
      </c>
      <c r="E199">
        <v>0</v>
      </c>
      <c r="F199" s="4" t="str">
        <f>'1a. Original Dataset Format'!B199</f>
        <v>Date</v>
      </c>
      <c r="G199" s="4" t="str">
        <f t="shared" si="12"/>
        <v>Ignore</v>
      </c>
      <c r="H199" s="4" t="str">
        <f t="shared" si="13"/>
        <v>Date</v>
      </c>
      <c r="I199" s="4" t="s">
        <v>87</v>
      </c>
      <c r="K199" s="4"/>
    </row>
    <row r="200" spans="1:11" x14ac:dyDescent="0.3">
      <c r="A200" t="s">
        <v>538</v>
      </c>
      <c r="B200" t="s">
        <v>263</v>
      </c>
      <c r="C200" t="s">
        <v>538</v>
      </c>
      <c r="D200">
        <v>0</v>
      </c>
      <c r="E200">
        <v>0</v>
      </c>
      <c r="F200" s="4" t="str">
        <f>'1a. Original Dataset Format'!B200</f>
        <v>Numeric</v>
      </c>
      <c r="G200" s="4" t="str">
        <f t="shared" si="12"/>
        <v>Fine</v>
      </c>
      <c r="H200" s="4" t="str">
        <f t="shared" si="13"/>
        <v>Numeric</v>
      </c>
      <c r="I200" s="4" t="s">
        <v>87</v>
      </c>
      <c r="K200" s="4"/>
    </row>
    <row r="201" spans="1:11" x14ac:dyDescent="0.3">
      <c r="A201" t="s">
        <v>539</v>
      </c>
      <c r="B201" t="s">
        <v>276</v>
      </c>
      <c r="C201" t="s">
        <v>539</v>
      </c>
      <c r="D201">
        <v>0</v>
      </c>
      <c r="E201">
        <v>0</v>
      </c>
      <c r="F201" s="4" t="str">
        <f>'1a. Original Dataset Format'!B201</f>
        <v>Character</v>
      </c>
      <c r="G201" s="4" t="str">
        <f t="shared" si="12"/>
        <v>Fine</v>
      </c>
      <c r="H201" s="4" t="str">
        <f t="shared" si="13"/>
        <v>Character</v>
      </c>
      <c r="I201" s="4" t="s">
        <v>87</v>
      </c>
      <c r="K201" s="4"/>
    </row>
    <row r="202" spans="1:11" x14ac:dyDescent="0.3">
      <c r="A202" t="s">
        <v>540</v>
      </c>
      <c r="B202" t="s">
        <v>276</v>
      </c>
      <c r="C202" t="s">
        <v>540</v>
      </c>
      <c r="D202">
        <v>0</v>
      </c>
      <c r="E202">
        <v>0</v>
      </c>
      <c r="F202" s="4" t="str">
        <f>'1a. Original Dataset Format'!B202</f>
        <v>Character</v>
      </c>
      <c r="G202" s="4" t="str">
        <f t="shared" si="12"/>
        <v>Fine</v>
      </c>
      <c r="H202" s="4" t="str">
        <f t="shared" si="13"/>
        <v>Character</v>
      </c>
      <c r="J202" s="4" t="s">
        <v>87</v>
      </c>
      <c r="K202" s="4"/>
    </row>
    <row r="203" spans="1:11" x14ac:dyDescent="0.3">
      <c r="A203" t="s">
        <v>541</v>
      </c>
      <c r="B203" t="s">
        <v>276</v>
      </c>
      <c r="C203" t="s">
        <v>541</v>
      </c>
      <c r="D203">
        <v>0</v>
      </c>
      <c r="E203">
        <v>0</v>
      </c>
      <c r="F203" s="4" t="str">
        <f>'1a. Original Dataset Format'!B203</f>
        <v>Character</v>
      </c>
      <c r="G203" s="4" t="str">
        <f t="shared" si="12"/>
        <v>Fine</v>
      </c>
      <c r="H203" s="4" t="str">
        <f t="shared" si="13"/>
        <v>Character</v>
      </c>
      <c r="J203" s="4" t="s">
        <v>87</v>
      </c>
      <c r="K203" s="4"/>
    </row>
    <row r="204" spans="1:11" x14ac:dyDescent="0.3">
      <c r="A204" t="s">
        <v>542</v>
      </c>
      <c r="B204" t="s">
        <v>276</v>
      </c>
      <c r="C204" t="s">
        <v>542</v>
      </c>
      <c r="D204">
        <v>0</v>
      </c>
      <c r="E204">
        <v>0</v>
      </c>
      <c r="F204" s="4" t="str">
        <f>'1a. Original Dataset Format'!B204</f>
        <v>Date</v>
      </c>
      <c r="G204" s="4" t="str">
        <f t="shared" si="12"/>
        <v>Ignore</v>
      </c>
      <c r="H204" s="4" t="str">
        <f t="shared" si="13"/>
        <v>Date</v>
      </c>
      <c r="I204" s="4" t="s">
        <v>87</v>
      </c>
      <c r="K204" s="4"/>
    </row>
    <row r="205" spans="1:11" x14ac:dyDescent="0.3">
      <c r="A205" t="s">
        <v>543</v>
      </c>
      <c r="B205" t="s">
        <v>263</v>
      </c>
      <c r="C205" t="s">
        <v>543</v>
      </c>
      <c r="D205">
        <v>0</v>
      </c>
      <c r="E205">
        <v>0</v>
      </c>
      <c r="F205" s="4" t="str">
        <f>'1a. Original Dataset Format'!B205</f>
        <v>Numeric</v>
      </c>
      <c r="G205" s="4" t="str">
        <f t="shared" si="12"/>
        <v>Fine</v>
      </c>
      <c r="H205" s="4" t="str">
        <f t="shared" si="13"/>
        <v>Numeric</v>
      </c>
      <c r="I205" s="4" t="s">
        <v>87</v>
      </c>
      <c r="K205" s="4"/>
    </row>
    <row r="206" spans="1:11" x14ac:dyDescent="0.3">
      <c r="A206" t="s">
        <v>544</v>
      </c>
      <c r="B206" t="s">
        <v>276</v>
      </c>
      <c r="C206" t="s">
        <v>544</v>
      </c>
      <c r="D206">
        <v>0</v>
      </c>
      <c r="E206">
        <v>0</v>
      </c>
      <c r="F206" s="4" t="str">
        <f>'1a. Original Dataset Format'!B206</f>
        <v>Character</v>
      </c>
      <c r="G206" s="4" t="str">
        <f t="shared" si="12"/>
        <v>Fine</v>
      </c>
      <c r="H206" s="4" t="str">
        <f t="shared" si="13"/>
        <v>Character</v>
      </c>
      <c r="I206" s="4" t="s">
        <v>87</v>
      </c>
      <c r="K206" s="4"/>
    </row>
    <row r="207" spans="1:11" x14ac:dyDescent="0.3">
      <c r="A207" t="s">
        <v>545</v>
      </c>
      <c r="B207" t="s">
        <v>276</v>
      </c>
      <c r="C207" t="s">
        <v>545</v>
      </c>
      <c r="D207">
        <v>0</v>
      </c>
      <c r="E207">
        <v>0</v>
      </c>
      <c r="F207" s="4" t="str">
        <f>'1a. Original Dataset Format'!B207</f>
        <v>Character</v>
      </c>
      <c r="G207" s="4" t="str">
        <f t="shared" si="12"/>
        <v>Fine</v>
      </c>
      <c r="H207" s="4" t="str">
        <f t="shared" si="13"/>
        <v>Character</v>
      </c>
      <c r="J207" s="4" t="s">
        <v>87</v>
      </c>
      <c r="K207" s="4"/>
    </row>
    <row r="208" spans="1:11" x14ac:dyDescent="0.3">
      <c r="A208" t="s">
        <v>546</v>
      </c>
      <c r="B208" t="s">
        <v>276</v>
      </c>
      <c r="C208" t="s">
        <v>546</v>
      </c>
      <c r="D208">
        <v>0</v>
      </c>
      <c r="E208">
        <v>0</v>
      </c>
      <c r="F208" s="4" t="str">
        <f>'1a. Original Dataset Format'!B208</f>
        <v>Character</v>
      </c>
      <c r="G208" s="4" t="str">
        <f t="shared" si="12"/>
        <v>Fine</v>
      </c>
      <c r="H208" s="4" t="str">
        <f t="shared" si="13"/>
        <v>Character</v>
      </c>
      <c r="J208" s="4" t="s">
        <v>87</v>
      </c>
      <c r="K208" s="4"/>
    </row>
    <row r="209" spans="1:11" x14ac:dyDescent="0.3">
      <c r="A209" t="s">
        <v>547</v>
      </c>
      <c r="B209" t="s">
        <v>276</v>
      </c>
      <c r="C209" t="s">
        <v>547</v>
      </c>
      <c r="D209">
        <v>0</v>
      </c>
      <c r="E209">
        <v>0</v>
      </c>
      <c r="F209" s="4" t="str">
        <f>'1a. Original Dataset Format'!B209</f>
        <v>Date</v>
      </c>
      <c r="G209" s="4" t="str">
        <f t="shared" si="12"/>
        <v>Ignore</v>
      </c>
      <c r="H209" s="4" t="str">
        <f t="shared" si="13"/>
        <v>Date</v>
      </c>
      <c r="I209" s="4" t="s">
        <v>87</v>
      </c>
      <c r="K209" s="4"/>
    </row>
    <row r="210" spans="1:11" x14ac:dyDescent="0.3">
      <c r="A210" t="s">
        <v>548</v>
      </c>
      <c r="B210" t="s">
        <v>263</v>
      </c>
      <c r="C210" t="s">
        <v>548</v>
      </c>
      <c r="D210">
        <v>0</v>
      </c>
      <c r="E210">
        <v>0</v>
      </c>
      <c r="F210" s="4" t="str">
        <f>'1a. Original Dataset Format'!B210</f>
        <v>Numeric</v>
      </c>
      <c r="G210" s="4" t="str">
        <f t="shared" si="12"/>
        <v>Fine</v>
      </c>
      <c r="H210" s="4" t="str">
        <f t="shared" si="13"/>
        <v>Numeric</v>
      </c>
      <c r="I210" s="4" t="s">
        <v>87</v>
      </c>
      <c r="K210" s="4"/>
    </row>
    <row r="211" spans="1:11" x14ac:dyDescent="0.3">
      <c r="A211" t="s">
        <v>549</v>
      </c>
      <c r="B211" t="s">
        <v>276</v>
      </c>
      <c r="C211" t="s">
        <v>549</v>
      </c>
      <c r="D211">
        <v>0</v>
      </c>
      <c r="E211">
        <v>0</v>
      </c>
      <c r="F211" s="4" t="str">
        <f>'1a. Original Dataset Format'!B211</f>
        <v>Character</v>
      </c>
      <c r="G211" s="4" t="str">
        <f t="shared" si="12"/>
        <v>Fine</v>
      </c>
      <c r="H211" s="4" t="str">
        <f t="shared" si="13"/>
        <v>Character</v>
      </c>
      <c r="I211" s="4" t="s">
        <v>87</v>
      </c>
      <c r="K211" s="4"/>
    </row>
    <row r="212" spans="1:11" x14ac:dyDescent="0.3">
      <c r="A212" t="s">
        <v>550</v>
      </c>
      <c r="B212" t="s">
        <v>276</v>
      </c>
      <c r="C212" t="s">
        <v>550</v>
      </c>
      <c r="D212">
        <v>0</v>
      </c>
      <c r="E212">
        <v>0</v>
      </c>
      <c r="F212" s="4" t="str">
        <f>'1a. Original Dataset Format'!B212</f>
        <v>Character</v>
      </c>
      <c r="G212" s="4" t="str">
        <f t="shared" si="12"/>
        <v>Fine</v>
      </c>
      <c r="H212" s="4" t="str">
        <f t="shared" si="13"/>
        <v>Character</v>
      </c>
      <c r="J212" s="4" t="s">
        <v>87</v>
      </c>
      <c r="K212" s="4"/>
    </row>
    <row r="213" spans="1:11" x14ac:dyDescent="0.3">
      <c r="A213" t="s">
        <v>551</v>
      </c>
      <c r="B213" t="s">
        <v>276</v>
      </c>
      <c r="C213" t="s">
        <v>551</v>
      </c>
      <c r="D213">
        <v>0</v>
      </c>
      <c r="E213">
        <v>0</v>
      </c>
      <c r="F213" s="4" t="str">
        <f>'1a. Original Dataset Format'!B213</f>
        <v>Character</v>
      </c>
      <c r="G213" s="4" t="str">
        <f t="shared" si="12"/>
        <v>Fine</v>
      </c>
      <c r="H213" s="4" t="str">
        <f t="shared" si="13"/>
        <v>Character</v>
      </c>
      <c r="J213" s="4" t="s">
        <v>87</v>
      </c>
      <c r="K213" s="4"/>
    </row>
    <row r="214" spans="1:11" x14ac:dyDescent="0.3">
      <c r="A214" t="s">
        <v>552</v>
      </c>
      <c r="B214" t="s">
        <v>276</v>
      </c>
      <c r="C214" t="s">
        <v>552</v>
      </c>
      <c r="D214">
        <v>0</v>
      </c>
      <c r="E214">
        <v>0</v>
      </c>
      <c r="F214" s="4" t="str">
        <f>'1a. Original Dataset Format'!B214</f>
        <v>Date</v>
      </c>
      <c r="G214" s="4" t="str">
        <f t="shared" si="12"/>
        <v>Ignore</v>
      </c>
      <c r="H214" s="4" t="str">
        <f t="shared" si="13"/>
        <v>Date</v>
      </c>
      <c r="I214" s="4" t="s">
        <v>87</v>
      </c>
      <c r="K214" s="4"/>
    </row>
    <row r="215" spans="1:11" x14ac:dyDescent="0.3">
      <c r="A215" t="s">
        <v>553</v>
      </c>
      <c r="B215" t="s">
        <v>263</v>
      </c>
      <c r="C215" t="s">
        <v>553</v>
      </c>
      <c r="D215">
        <v>0</v>
      </c>
      <c r="E215">
        <v>0</v>
      </c>
      <c r="F215" s="4" t="str">
        <f>'1a. Original Dataset Format'!B215</f>
        <v>Numeric</v>
      </c>
      <c r="G215" s="4" t="str">
        <f t="shared" si="12"/>
        <v>Fine</v>
      </c>
      <c r="H215" s="4" t="str">
        <f t="shared" si="13"/>
        <v>Numeric</v>
      </c>
      <c r="I215" s="4" t="s">
        <v>87</v>
      </c>
      <c r="K215" s="4"/>
    </row>
    <row r="216" spans="1:11" x14ac:dyDescent="0.3">
      <c r="A216" t="s">
        <v>554</v>
      </c>
      <c r="B216" t="s">
        <v>276</v>
      </c>
      <c r="C216" t="s">
        <v>554</v>
      </c>
      <c r="D216">
        <v>0</v>
      </c>
      <c r="E216">
        <v>0</v>
      </c>
      <c r="F216" s="4" t="str">
        <f>'1a. Original Dataset Format'!B216</f>
        <v>Character</v>
      </c>
      <c r="G216" s="4" t="str">
        <f t="shared" si="12"/>
        <v>Fine</v>
      </c>
      <c r="H216" s="4" t="str">
        <f t="shared" si="13"/>
        <v>Character</v>
      </c>
      <c r="I216" s="4" t="s">
        <v>87</v>
      </c>
      <c r="K216" s="4"/>
    </row>
    <row r="217" spans="1:11" x14ac:dyDescent="0.3">
      <c r="A217" t="s">
        <v>555</v>
      </c>
      <c r="B217" t="s">
        <v>276</v>
      </c>
      <c r="C217" t="s">
        <v>555</v>
      </c>
      <c r="D217">
        <v>0</v>
      </c>
      <c r="E217">
        <v>0</v>
      </c>
      <c r="F217" s="4" t="str">
        <f>'1a. Original Dataset Format'!B217</f>
        <v>Character</v>
      </c>
      <c r="G217" s="4" t="str">
        <f t="shared" si="12"/>
        <v>Fine</v>
      </c>
      <c r="H217" s="4" t="str">
        <f t="shared" si="13"/>
        <v>Character</v>
      </c>
      <c r="J217" s="4" t="s">
        <v>87</v>
      </c>
      <c r="K217" s="4"/>
    </row>
    <row r="218" spans="1:11" x14ac:dyDescent="0.3">
      <c r="A218" t="s">
        <v>556</v>
      </c>
      <c r="B218" t="s">
        <v>277</v>
      </c>
      <c r="C218" t="s">
        <v>556</v>
      </c>
      <c r="D218">
        <v>0</v>
      </c>
      <c r="E218">
        <v>0</v>
      </c>
      <c r="F218" s="4" t="str">
        <f>'1a. Original Dataset Format'!B218</f>
        <v>Numeric</v>
      </c>
      <c r="G218" s="4" t="str">
        <f t="shared" si="12"/>
        <v>Fine</v>
      </c>
      <c r="H218" s="4" t="str">
        <f t="shared" si="13"/>
        <v>Numeric</v>
      </c>
      <c r="K218" s="4"/>
    </row>
    <row r="219" spans="1:11" x14ac:dyDescent="0.3">
      <c r="A219" t="s">
        <v>557</v>
      </c>
      <c r="B219" t="s">
        <v>276</v>
      </c>
      <c r="C219" t="s">
        <v>557</v>
      </c>
      <c r="D219">
        <v>0</v>
      </c>
      <c r="E219">
        <v>0</v>
      </c>
      <c r="F219" s="4" t="str">
        <f>'1a. Original Dataset Format'!B219</f>
        <v>Date</v>
      </c>
      <c r="G219" s="4" t="str">
        <f t="shared" si="12"/>
        <v>Ignore</v>
      </c>
      <c r="H219" s="4" t="str">
        <f t="shared" si="13"/>
        <v>Date</v>
      </c>
      <c r="I219" s="4" t="s">
        <v>87</v>
      </c>
      <c r="K219" s="4"/>
    </row>
    <row r="220" spans="1:11" x14ac:dyDescent="0.3">
      <c r="A220" t="s">
        <v>558</v>
      </c>
      <c r="B220" t="s">
        <v>277</v>
      </c>
      <c r="C220" t="s">
        <v>558</v>
      </c>
      <c r="D220">
        <v>0</v>
      </c>
      <c r="E220">
        <v>0</v>
      </c>
      <c r="F220" s="4" t="str">
        <f>'1a. Original Dataset Format'!B220</f>
        <v>Numeric</v>
      </c>
      <c r="G220" s="4" t="str">
        <f t="shared" si="12"/>
        <v>Fine</v>
      </c>
      <c r="H220" s="4" t="str">
        <f t="shared" si="13"/>
        <v>Numeric</v>
      </c>
      <c r="I220" s="4" t="s">
        <v>87</v>
      </c>
      <c r="K220" s="4"/>
    </row>
    <row r="221" spans="1:11" x14ac:dyDescent="0.3">
      <c r="A221" t="s">
        <v>559</v>
      </c>
      <c r="B221" t="s">
        <v>276</v>
      </c>
      <c r="C221" t="s">
        <v>559</v>
      </c>
      <c r="D221">
        <v>0</v>
      </c>
      <c r="E221">
        <v>0</v>
      </c>
      <c r="F221" s="4" t="str">
        <f>'1a. Original Dataset Format'!B221</f>
        <v>Character</v>
      </c>
      <c r="G221" s="4" t="str">
        <f t="shared" si="12"/>
        <v>Fine</v>
      </c>
      <c r="H221" s="4" t="str">
        <f t="shared" si="13"/>
        <v>Character</v>
      </c>
      <c r="J221" s="4" t="s">
        <v>87</v>
      </c>
      <c r="K221" s="4"/>
    </row>
    <row r="222" spans="1:11" x14ac:dyDescent="0.3">
      <c r="A222" t="s">
        <v>560</v>
      </c>
      <c r="B222" t="s">
        <v>277</v>
      </c>
      <c r="C222" t="s">
        <v>560</v>
      </c>
      <c r="D222">
        <v>0</v>
      </c>
      <c r="E222">
        <v>0</v>
      </c>
      <c r="F222" s="4" t="str">
        <f>'1a. Original Dataset Format'!B222</f>
        <v>Numeric</v>
      </c>
      <c r="G222" s="4" t="str">
        <f t="shared" si="12"/>
        <v>Fine</v>
      </c>
      <c r="H222" s="4" t="str">
        <f t="shared" si="13"/>
        <v>Numeric</v>
      </c>
      <c r="K222" s="4"/>
    </row>
    <row r="223" spans="1:11" x14ac:dyDescent="0.3">
      <c r="A223" t="s">
        <v>561</v>
      </c>
      <c r="B223" t="s">
        <v>276</v>
      </c>
      <c r="C223" t="s">
        <v>561</v>
      </c>
      <c r="D223">
        <v>0</v>
      </c>
      <c r="E223">
        <v>0</v>
      </c>
      <c r="F223" s="4" t="str">
        <f>'1a. Original Dataset Format'!B223</f>
        <v>Date</v>
      </c>
      <c r="G223" s="4" t="str">
        <f t="shared" si="12"/>
        <v>Ignore</v>
      </c>
      <c r="H223" s="4" t="str">
        <f t="shared" si="13"/>
        <v>Date</v>
      </c>
      <c r="I223" s="4" t="s">
        <v>87</v>
      </c>
      <c r="K223" s="4"/>
    </row>
    <row r="224" spans="1:11" x14ac:dyDescent="0.3">
      <c r="A224" t="s">
        <v>562</v>
      </c>
      <c r="B224" t="s">
        <v>277</v>
      </c>
      <c r="C224" t="s">
        <v>562</v>
      </c>
      <c r="D224">
        <v>0</v>
      </c>
      <c r="E224">
        <v>0</v>
      </c>
      <c r="F224" s="4" t="str">
        <f>'1a. Original Dataset Format'!B224</f>
        <v>Numeric</v>
      </c>
      <c r="G224" s="4" t="str">
        <f t="shared" si="12"/>
        <v>Fine</v>
      </c>
      <c r="H224" s="4" t="str">
        <f t="shared" si="13"/>
        <v>Numeric</v>
      </c>
      <c r="I224" s="4" t="s">
        <v>87</v>
      </c>
      <c r="K224" s="4"/>
    </row>
    <row r="225" spans="1:11" x14ac:dyDescent="0.3">
      <c r="A225" t="s">
        <v>563</v>
      </c>
      <c r="B225" t="s">
        <v>276</v>
      </c>
      <c r="C225" t="s">
        <v>563</v>
      </c>
      <c r="D225">
        <v>0</v>
      </c>
      <c r="E225">
        <v>0</v>
      </c>
      <c r="F225" s="4" t="str">
        <f>'1a. Original Dataset Format'!B225</f>
        <v>Character</v>
      </c>
      <c r="G225" s="4" t="str">
        <f t="shared" si="12"/>
        <v>Fine</v>
      </c>
      <c r="H225" s="4" t="str">
        <f t="shared" si="13"/>
        <v>Character</v>
      </c>
      <c r="J225" s="4" t="s">
        <v>87</v>
      </c>
      <c r="K225" s="4"/>
    </row>
    <row r="226" spans="1:11" x14ac:dyDescent="0.3">
      <c r="A226" t="s">
        <v>564</v>
      </c>
      <c r="B226" t="s">
        <v>277</v>
      </c>
      <c r="C226" t="s">
        <v>564</v>
      </c>
      <c r="D226">
        <v>0</v>
      </c>
      <c r="E226">
        <v>0</v>
      </c>
      <c r="F226" s="4" t="str">
        <f>'1a. Original Dataset Format'!B226</f>
        <v>Numeric</v>
      </c>
      <c r="G226" s="4" t="str">
        <f t="shared" si="12"/>
        <v>Fine</v>
      </c>
      <c r="H226" s="4" t="str">
        <f t="shared" si="13"/>
        <v>Numeric</v>
      </c>
      <c r="K226" s="4"/>
    </row>
    <row r="227" spans="1:11" x14ac:dyDescent="0.3">
      <c r="A227" t="s">
        <v>565</v>
      </c>
      <c r="B227" t="s">
        <v>276</v>
      </c>
      <c r="C227" t="s">
        <v>565</v>
      </c>
      <c r="D227">
        <v>0</v>
      </c>
      <c r="E227">
        <v>0</v>
      </c>
      <c r="F227" s="4" t="str">
        <f>'1a. Original Dataset Format'!B227</f>
        <v>Date</v>
      </c>
      <c r="G227" s="4" t="str">
        <f t="shared" si="12"/>
        <v>Ignore</v>
      </c>
      <c r="H227" s="4" t="str">
        <f t="shared" si="13"/>
        <v>Date</v>
      </c>
      <c r="I227" s="4" t="s">
        <v>87</v>
      </c>
      <c r="K227" s="4"/>
    </row>
    <row r="228" spans="1:11" x14ac:dyDescent="0.3">
      <c r="A228" t="s">
        <v>566</v>
      </c>
      <c r="B228" t="s">
        <v>277</v>
      </c>
      <c r="C228" t="s">
        <v>566</v>
      </c>
      <c r="D228">
        <v>0</v>
      </c>
      <c r="E228">
        <v>0</v>
      </c>
      <c r="F228" s="4" t="str">
        <f>'1a. Original Dataset Format'!B228</f>
        <v>Numeric</v>
      </c>
      <c r="G228" s="4" t="str">
        <f t="shared" si="12"/>
        <v>Fine</v>
      </c>
      <c r="H228" s="4" t="str">
        <f t="shared" si="13"/>
        <v>Numeric</v>
      </c>
      <c r="I228" s="4" t="s">
        <v>87</v>
      </c>
      <c r="K228" s="4"/>
    </row>
    <row r="229" spans="1:11" x14ac:dyDescent="0.3">
      <c r="A229" t="s">
        <v>567</v>
      </c>
      <c r="B229" t="s">
        <v>276</v>
      </c>
      <c r="C229" t="s">
        <v>567</v>
      </c>
      <c r="D229">
        <v>0</v>
      </c>
      <c r="E229">
        <v>0</v>
      </c>
      <c r="F229" s="4" t="str">
        <f>'1a. Original Dataset Format'!B229</f>
        <v>Character</v>
      </c>
      <c r="G229" s="4" t="str">
        <f t="shared" si="12"/>
        <v>Fine</v>
      </c>
      <c r="H229" s="4" t="str">
        <f t="shared" si="13"/>
        <v>Character</v>
      </c>
      <c r="J229" s="4" t="s">
        <v>87</v>
      </c>
      <c r="K229" s="4"/>
    </row>
    <row r="230" spans="1:11" x14ac:dyDescent="0.3">
      <c r="A230" t="s">
        <v>568</v>
      </c>
      <c r="B230" t="s">
        <v>277</v>
      </c>
      <c r="C230" t="s">
        <v>568</v>
      </c>
      <c r="D230">
        <v>0</v>
      </c>
      <c r="E230">
        <v>0</v>
      </c>
      <c r="F230" s="4" t="str">
        <f>'1a. Original Dataset Format'!B230</f>
        <v>Numeric</v>
      </c>
      <c r="G230" s="4" t="str">
        <f t="shared" ref="G230:G292" si="14">IF(F230="Character",IF(OR(B230="factor",B230="character"),"Fine","ERROR"),IF(F230="Numeric",IF(OR(B230="numeric",B230="integer"),"Fine","ERROR"),IF(F230="Date","Ignore","CHECK")))</f>
        <v>Fine</v>
      </c>
      <c r="H230" s="4" t="str">
        <f t="shared" ref="H230:H292" si="15">IF(G230="error","Numeric",F230)</f>
        <v>Numeric</v>
      </c>
      <c r="K230" s="4"/>
    </row>
    <row r="231" spans="1:11" x14ac:dyDescent="0.3">
      <c r="A231" t="s">
        <v>569</v>
      </c>
      <c r="B231" t="s">
        <v>276</v>
      </c>
      <c r="C231" t="s">
        <v>569</v>
      </c>
      <c r="D231">
        <v>0</v>
      </c>
      <c r="E231">
        <v>0</v>
      </c>
      <c r="F231" s="4" t="str">
        <f>'1a. Original Dataset Format'!B231</f>
        <v>Date</v>
      </c>
      <c r="G231" s="4" t="str">
        <f t="shared" si="14"/>
        <v>Ignore</v>
      </c>
      <c r="H231" s="4" t="str">
        <f t="shared" si="15"/>
        <v>Date</v>
      </c>
      <c r="I231" s="4" t="s">
        <v>87</v>
      </c>
      <c r="K231" s="4"/>
    </row>
    <row r="232" spans="1:11" x14ac:dyDescent="0.3">
      <c r="A232" t="s">
        <v>570</v>
      </c>
      <c r="B232" t="s">
        <v>277</v>
      </c>
      <c r="C232" t="s">
        <v>570</v>
      </c>
      <c r="D232">
        <v>0</v>
      </c>
      <c r="E232">
        <v>0</v>
      </c>
      <c r="F232" s="4" t="str">
        <f>'1a. Original Dataset Format'!B232</f>
        <v>Numeric</v>
      </c>
      <c r="G232" s="4" t="str">
        <f t="shared" si="14"/>
        <v>Fine</v>
      </c>
      <c r="H232" s="4" t="str">
        <f t="shared" si="15"/>
        <v>Numeric</v>
      </c>
      <c r="I232" s="4" t="s">
        <v>87</v>
      </c>
      <c r="K232" s="4"/>
    </row>
    <row r="233" spans="1:11" x14ac:dyDescent="0.3">
      <c r="A233" t="s">
        <v>571</v>
      </c>
      <c r="B233" t="s">
        <v>276</v>
      </c>
      <c r="C233" t="s">
        <v>571</v>
      </c>
      <c r="D233">
        <v>0</v>
      </c>
      <c r="E233">
        <v>0</v>
      </c>
      <c r="F233" s="4" t="str">
        <f>'1a. Original Dataset Format'!B233</f>
        <v>Character</v>
      </c>
      <c r="G233" s="4" t="str">
        <f t="shared" si="14"/>
        <v>Fine</v>
      </c>
      <c r="H233" s="4" t="str">
        <f t="shared" si="15"/>
        <v>Character</v>
      </c>
      <c r="J233" s="4" t="s">
        <v>87</v>
      </c>
      <c r="K233" s="4"/>
    </row>
    <row r="234" spans="1:11" x14ac:dyDescent="0.3">
      <c r="A234" t="s">
        <v>572</v>
      </c>
      <c r="B234" t="s">
        <v>277</v>
      </c>
      <c r="C234" t="s">
        <v>572</v>
      </c>
      <c r="D234">
        <v>0</v>
      </c>
      <c r="E234">
        <v>0</v>
      </c>
      <c r="F234" s="4" t="str">
        <f>'1a. Original Dataset Format'!B234</f>
        <v>Numeric</v>
      </c>
      <c r="G234" s="4" t="str">
        <f t="shared" si="14"/>
        <v>Fine</v>
      </c>
      <c r="H234" s="4" t="str">
        <f t="shared" si="15"/>
        <v>Numeric</v>
      </c>
      <c r="K234" s="4"/>
    </row>
    <row r="235" spans="1:11" x14ac:dyDescent="0.3">
      <c r="A235" t="s">
        <v>573</v>
      </c>
      <c r="B235" t="s">
        <v>277</v>
      </c>
      <c r="C235" t="s">
        <v>573</v>
      </c>
      <c r="D235">
        <v>0</v>
      </c>
      <c r="E235">
        <v>0</v>
      </c>
      <c r="F235" s="4" t="str">
        <f>'1a. Original Dataset Format'!B235</f>
        <v>Date</v>
      </c>
      <c r="G235" s="4" t="str">
        <f t="shared" si="14"/>
        <v>Ignore</v>
      </c>
      <c r="H235" s="4" t="str">
        <f t="shared" si="15"/>
        <v>Date</v>
      </c>
      <c r="I235" s="4" t="s">
        <v>87</v>
      </c>
      <c r="K235" s="4"/>
    </row>
    <row r="236" spans="1:11" x14ac:dyDescent="0.3">
      <c r="A236" t="s">
        <v>574</v>
      </c>
      <c r="B236" t="s">
        <v>277</v>
      </c>
      <c r="C236" t="s">
        <v>574</v>
      </c>
      <c r="D236">
        <v>0</v>
      </c>
      <c r="E236">
        <v>0</v>
      </c>
      <c r="F236" s="4" t="str">
        <f>'1a. Original Dataset Format'!B236</f>
        <v>Numeric</v>
      </c>
      <c r="G236" s="4" t="str">
        <f t="shared" si="14"/>
        <v>Fine</v>
      </c>
      <c r="H236" s="4" t="str">
        <f t="shared" si="15"/>
        <v>Numeric</v>
      </c>
      <c r="I236" s="4" t="s">
        <v>87</v>
      </c>
      <c r="K236" s="4"/>
    </row>
    <row r="237" spans="1:11" x14ac:dyDescent="0.3">
      <c r="A237" t="s">
        <v>575</v>
      </c>
      <c r="B237" t="s">
        <v>276</v>
      </c>
      <c r="C237" t="s">
        <v>575</v>
      </c>
      <c r="D237">
        <v>0</v>
      </c>
      <c r="E237">
        <v>0</v>
      </c>
      <c r="F237" s="4" t="str">
        <f>'1a. Original Dataset Format'!B237</f>
        <v>Character</v>
      </c>
      <c r="G237" s="4" t="str">
        <f t="shared" si="14"/>
        <v>Fine</v>
      </c>
      <c r="H237" s="4" t="str">
        <f t="shared" si="15"/>
        <v>Character</v>
      </c>
      <c r="J237" s="4" t="s">
        <v>87</v>
      </c>
      <c r="K237" s="4"/>
    </row>
    <row r="238" spans="1:11" x14ac:dyDescent="0.3">
      <c r="A238" t="s">
        <v>576</v>
      </c>
      <c r="B238" t="s">
        <v>277</v>
      </c>
      <c r="C238" t="s">
        <v>576</v>
      </c>
      <c r="D238">
        <v>0</v>
      </c>
      <c r="E238">
        <v>0</v>
      </c>
      <c r="F238" s="4" t="str">
        <f>'1a. Original Dataset Format'!B238</f>
        <v>Numeric</v>
      </c>
      <c r="G238" s="4" t="str">
        <f t="shared" si="14"/>
        <v>Fine</v>
      </c>
      <c r="H238" s="4" t="str">
        <f t="shared" si="15"/>
        <v>Numeric</v>
      </c>
      <c r="K238" s="4"/>
    </row>
    <row r="239" spans="1:11" x14ac:dyDescent="0.3">
      <c r="A239" t="s">
        <v>577</v>
      </c>
      <c r="B239" t="s">
        <v>276</v>
      </c>
      <c r="C239" t="s">
        <v>577</v>
      </c>
      <c r="D239">
        <v>0</v>
      </c>
      <c r="E239">
        <v>0</v>
      </c>
      <c r="F239" s="4" t="str">
        <f>'1a. Original Dataset Format'!B239</f>
        <v>Date</v>
      </c>
      <c r="G239" s="4" t="str">
        <f t="shared" si="14"/>
        <v>Ignore</v>
      </c>
      <c r="H239" s="4" t="str">
        <f t="shared" si="15"/>
        <v>Date</v>
      </c>
      <c r="I239" s="4" t="s">
        <v>87</v>
      </c>
      <c r="K239" s="4"/>
    </row>
    <row r="240" spans="1:11" x14ac:dyDescent="0.3">
      <c r="A240" t="s">
        <v>578</v>
      </c>
      <c r="B240" t="s">
        <v>277</v>
      </c>
      <c r="C240" t="s">
        <v>578</v>
      </c>
      <c r="D240">
        <v>0</v>
      </c>
      <c r="E240">
        <v>0</v>
      </c>
      <c r="F240" s="4" t="str">
        <f>'1a. Original Dataset Format'!B240</f>
        <v>Numeric</v>
      </c>
      <c r="G240" s="4" t="str">
        <f t="shared" si="14"/>
        <v>Fine</v>
      </c>
      <c r="H240" s="4" t="str">
        <f t="shared" si="15"/>
        <v>Numeric</v>
      </c>
      <c r="I240" s="4" t="s">
        <v>87</v>
      </c>
      <c r="K240" s="4"/>
    </row>
    <row r="241" spans="1:11" x14ac:dyDescent="0.3">
      <c r="A241" t="s">
        <v>579</v>
      </c>
      <c r="B241" t="s">
        <v>276</v>
      </c>
      <c r="C241" t="s">
        <v>579</v>
      </c>
      <c r="D241">
        <v>0</v>
      </c>
      <c r="E241">
        <v>0</v>
      </c>
      <c r="F241" s="4" t="str">
        <f>'1a. Original Dataset Format'!B241</f>
        <v>Character</v>
      </c>
      <c r="G241" s="4" t="str">
        <f t="shared" si="14"/>
        <v>Fine</v>
      </c>
      <c r="H241" s="4" t="str">
        <f t="shared" si="15"/>
        <v>Character</v>
      </c>
      <c r="J241" s="4" t="s">
        <v>87</v>
      </c>
      <c r="K241" s="4"/>
    </row>
    <row r="242" spans="1:11" x14ac:dyDescent="0.3">
      <c r="A242" t="s">
        <v>580</v>
      </c>
      <c r="B242" t="s">
        <v>277</v>
      </c>
      <c r="C242" t="s">
        <v>580</v>
      </c>
      <c r="D242">
        <v>0</v>
      </c>
      <c r="E242">
        <v>0</v>
      </c>
      <c r="F242" s="4" t="str">
        <f>'1a. Original Dataset Format'!B242</f>
        <v>Numeric</v>
      </c>
      <c r="G242" s="4" t="str">
        <f t="shared" si="14"/>
        <v>Fine</v>
      </c>
      <c r="H242" s="4" t="str">
        <f t="shared" si="15"/>
        <v>Numeric</v>
      </c>
      <c r="K242" s="4"/>
    </row>
    <row r="243" spans="1:11" x14ac:dyDescent="0.3">
      <c r="A243" t="s">
        <v>581</v>
      </c>
      <c r="B243" t="s">
        <v>276</v>
      </c>
      <c r="C243" t="s">
        <v>581</v>
      </c>
      <c r="D243">
        <v>0</v>
      </c>
      <c r="E243">
        <v>0</v>
      </c>
      <c r="F243" s="4" t="str">
        <f>'1a. Original Dataset Format'!B243</f>
        <v>Date</v>
      </c>
      <c r="G243" s="4" t="str">
        <f t="shared" si="14"/>
        <v>Ignore</v>
      </c>
      <c r="H243" s="4" t="str">
        <f t="shared" si="15"/>
        <v>Date</v>
      </c>
      <c r="I243" s="4" t="s">
        <v>87</v>
      </c>
      <c r="K243" s="4"/>
    </row>
    <row r="244" spans="1:11" x14ac:dyDescent="0.3">
      <c r="A244" t="s">
        <v>582</v>
      </c>
      <c r="B244" t="s">
        <v>277</v>
      </c>
      <c r="C244" t="s">
        <v>582</v>
      </c>
      <c r="D244">
        <v>0</v>
      </c>
      <c r="E244">
        <v>0</v>
      </c>
      <c r="F244" s="4" t="str">
        <f>'1a. Original Dataset Format'!B244</f>
        <v>Numeric</v>
      </c>
      <c r="G244" s="4" t="str">
        <f t="shared" si="14"/>
        <v>Fine</v>
      </c>
      <c r="H244" s="4" t="str">
        <f t="shared" si="15"/>
        <v>Numeric</v>
      </c>
      <c r="I244" s="4" t="s">
        <v>87</v>
      </c>
      <c r="K244" s="4"/>
    </row>
    <row r="245" spans="1:11" x14ac:dyDescent="0.3">
      <c r="A245" t="s">
        <v>583</v>
      </c>
      <c r="B245" t="s">
        <v>276</v>
      </c>
      <c r="C245" t="s">
        <v>583</v>
      </c>
      <c r="D245">
        <v>0</v>
      </c>
      <c r="E245">
        <v>0</v>
      </c>
      <c r="F245" s="4" t="str">
        <f>'1a. Original Dataset Format'!B245</f>
        <v>Character</v>
      </c>
      <c r="G245" s="4" t="str">
        <f t="shared" si="14"/>
        <v>Fine</v>
      </c>
      <c r="H245" s="4" t="str">
        <f t="shared" si="15"/>
        <v>Character</v>
      </c>
      <c r="J245" s="4" t="s">
        <v>87</v>
      </c>
      <c r="K245" s="4"/>
    </row>
    <row r="246" spans="1:11" x14ac:dyDescent="0.3">
      <c r="A246" t="s">
        <v>584</v>
      </c>
      <c r="B246" t="s">
        <v>277</v>
      </c>
      <c r="C246" t="s">
        <v>584</v>
      </c>
      <c r="D246">
        <v>0</v>
      </c>
      <c r="E246">
        <v>0</v>
      </c>
      <c r="F246" s="4" t="str">
        <f>'1a. Original Dataset Format'!B246</f>
        <v>Numeric</v>
      </c>
      <c r="G246" s="4" t="str">
        <f t="shared" si="14"/>
        <v>Fine</v>
      </c>
      <c r="H246" s="4" t="str">
        <f t="shared" si="15"/>
        <v>Numeric</v>
      </c>
      <c r="K246" s="4"/>
    </row>
    <row r="247" spans="1:11" x14ac:dyDescent="0.3">
      <c r="A247" t="s">
        <v>585</v>
      </c>
      <c r="B247" t="s">
        <v>276</v>
      </c>
      <c r="C247" t="s">
        <v>585</v>
      </c>
      <c r="D247">
        <v>0</v>
      </c>
      <c r="E247">
        <v>0</v>
      </c>
      <c r="F247" s="4" t="str">
        <f>'1a. Original Dataset Format'!B247</f>
        <v>Date</v>
      </c>
      <c r="G247" s="4" t="str">
        <f t="shared" si="14"/>
        <v>Ignore</v>
      </c>
      <c r="H247" s="4" t="str">
        <f t="shared" si="15"/>
        <v>Date</v>
      </c>
      <c r="I247" s="4" t="s">
        <v>87</v>
      </c>
      <c r="K247" s="4"/>
    </row>
    <row r="248" spans="1:11" x14ac:dyDescent="0.3">
      <c r="A248" t="s">
        <v>586</v>
      </c>
      <c r="B248" t="s">
        <v>277</v>
      </c>
      <c r="C248" t="s">
        <v>586</v>
      </c>
      <c r="D248">
        <v>0</v>
      </c>
      <c r="E248">
        <v>0</v>
      </c>
      <c r="F248" s="4" t="str">
        <f>'1a. Original Dataset Format'!B248</f>
        <v>Numeric</v>
      </c>
      <c r="G248" s="4" t="str">
        <f t="shared" si="14"/>
        <v>Fine</v>
      </c>
      <c r="H248" s="4" t="str">
        <f t="shared" si="15"/>
        <v>Numeric</v>
      </c>
      <c r="I248" s="4" t="s">
        <v>87</v>
      </c>
      <c r="K248" s="4"/>
    </row>
    <row r="249" spans="1:11" x14ac:dyDescent="0.3">
      <c r="A249" t="s">
        <v>587</v>
      </c>
      <c r="B249" t="s">
        <v>276</v>
      </c>
      <c r="C249" t="s">
        <v>587</v>
      </c>
      <c r="D249">
        <v>0</v>
      </c>
      <c r="E249">
        <v>0</v>
      </c>
      <c r="F249" s="4" t="str">
        <f>'1a. Original Dataset Format'!B249</f>
        <v>Character</v>
      </c>
      <c r="G249" s="4" t="str">
        <f t="shared" si="14"/>
        <v>Fine</v>
      </c>
      <c r="H249" s="4" t="str">
        <f t="shared" si="15"/>
        <v>Character</v>
      </c>
      <c r="J249" s="4" t="s">
        <v>87</v>
      </c>
      <c r="K249" s="4"/>
    </row>
    <row r="250" spans="1:11" x14ac:dyDescent="0.3">
      <c r="A250" t="s">
        <v>588</v>
      </c>
      <c r="B250" t="s">
        <v>277</v>
      </c>
      <c r="C250" t="s">
        <v>588</v>
      </c>
      <c r="D250">
        <v>0</v>
      </c>
      <c r="E250">
        <v>0</v>
      </c>
      <c r="F250" s="4" t="str">
        <f>'1a. Original Dataset Format'!B250</f>
        <v>Numeric</v>
      </c>
      <c r="G250" s="4" t="str">
        <f t="shared" si="14"/>
        <v>Fine</v>
      </c>
      <c r="H250" s="4" t="str">
        <f t="shared" si="15"/>
        <v>Numeric</v>
      </c>
      <c r="K250" s="4"/>
    </row>
    <row r="251" spans="1:11" x14ac:dyDescent="0.3">
      <c r="A251" t="s">
        <v>589</v>
      </c>
      <c r="B251" t="s">
        <v>277</v>
      </c>
      <c r="C251" t="s">
        <v>589</v>
      </c>
      <c r="D251">
        <v>0</v>
      </c>
      <c r="E251">
        <v>0</v>
      </c>
      <c r="F251" s="4" t="str">
        <f>'1a. Original Dataset Format'!B251</f>
        <v>Date</v>
      </c>
      <c r="G251" s="4" t="str">
        <f t="shared" si="14"/>
        <v>Ignore</v>
      </c>
      <c r="H251" s="4" t="str">
        <f t="shared" si="15"/>
        <v>Date</v>
      </c>
      <c r="I251" s="4" t="s">
        <v>87</v>
      </c>
      <c r="K251" s="4"/>
    </row>
    <row r="252" spans="1:11" x14ac:dyDescent="0.3">
      <c r="A252" t="s">
        <v>590</v>
      </c>
      <c r="B252" t="s">
        <v>277</v>
      </c>
      <c r="C252" t="s">
        <v>590</v>
      </c>
      <c r="D252">
        <v>0</v>
      </c>
      <c r="E252">
        <v>0</v>
      </c>
      <c r="F252" s="4" t="str">
        <f>'1a. Original Dataset Format'!B252</f>
        <v>Numeric</v>
      </c>
      <c r="G252" s="4" t="str">
        <f t="shared" si="14"/>
        <v>Fine</v>
      </c>
      <c r="H252" s="4" t="str">
        <f t="shared" si="15"/>
        <v>Numeric</v>
      </c>
      <c r="I252" s="4" t="s">
        <v>87</v>
      </c>
      <c r="K252" s="4"/>
    </row>
    <row r="253" spans="1:11" x14ac:dyDescent="0.3">
      <c r="A253" t="s">
        <v>591</v>
      </c>
      <c r="B253" t="s">
        <v>276</v>
      </c>
      <c r="C253" t="s">
        <v>591</v>
      </c>
      <c r="D253">
        <v>0</v>
      </c>
      <c r="E253">
        <v>0</v>
      </c>
      <c r="F253" s="4" t="str">
        <f>'1a. Original Dataset Format'!B253</f>
        <v>Character</v>
      </c>
      <c r="G253" s="4" t="str">
        <f t="shared" si="14"/>
        <v>Fine</v>
      </c>
      <c r="H253" s="4" t="str">
        <f t="shared" si="15"/>
        <v>Character</v>
      </c>
      <c r="J253" s="4" t="s">
        <v>87</v>
      </c>
      <c r="K253" s="4"/>
    </row>
    <row r="254" spans="1:11" x14ac:dyDescent="0.3">
      <c r="A254" t="s">
        <v>592</v>
      </c>
      <c r="B254" t="s">
        <v>277</v>
      </c>
      <c r="C254" t="s">
        <v>592</v>
      </c>
      <c r="D254">
        <v>0</v>
      </c>
      <c r="E254">
        <v>0</v>
      </c>
      <c r="F254" s="4" t="str">
        <f>'1a. Original Dataset Format'!B254</f>
        <v>Numeric</v>
      </c>
      <c r="G254" s="4" t="str">
        <f t="shared" si="14"/>
        <v>Fine</v>
      </c>
      <c r="H254" s="4" t="str">
        <f t="shared" si="15"/>
        <v>Numeric</v>
      </c>
      <c r="K254" s="4"/>
    </row>
    <row r="255" spans="1:11" x14ac:dyDescent="0.3">
      <c r="A255" t="s">
        <v>593</v>
      </c>
      <c r="B255" t="s">
        <v>277</v>
      </c>
      <c r="C255" t="s">
        <v>593</v>
      </c>
      <c r="D255">
        <v>0</v>
      </c>
      <c r="E255">
        <v>0</v>
      </c>
      <c r="F255" s="4" t="str">
        <f>'1a. Original Dataset Format'!B255</f>
        <v>Date</v>
      </c>
      <c r="G255" s="4" t="str">
        <f t="shared" si="14"/>
        <v>Ignore</v>
      </c>
      <c r="H255" s="4" t="str">
        <f t="shared" si="15"/>
        <v>Date</v>
      </c>
      <c r="I255" s="4" t="s">
        <v>87</v>
      </c>
      <c r="K255" s="4"/>
    </row>
    <row r="256" spans="1:11" x14ac:dyDescent="0.3">
      <c r="A256" t="s">
        <v>594</v>
      </c>
      <c r="B256" t="s">
        <v>277</v>
      </c>
      <c r="C256" t="s">
        <v>594</v>
      </c>
      <c r="D256">
        <v>0</v>
      </c>
      <c r="E256">
        <v>0</v>
      </c>
      <c r="F256" s="4" t="str">
        <f>'1a. Original Dataset Format'!B256</f>
        <v>Numeric</v>
      </c>
      <c r="G256" s="4" t="str">
        <f t="shared" si="14"/>
        <v>Fine</v>
      </c>
      <c r="H256" s="4" t="str">
        <f t="shared" si="15"/>
        <v>Numeric</v>
      </c>
      <c r="I256" s="4" t="s">
        <v>87</v>
      </c>
      <c r="K256" s="4"/>
    </row>
    <row r="257" spans="1:11" x14ac:dyDescent="0.3">
      <c r="A257" t="s">
        <v>595</v>
      </c>
      <c r="B257" t="s">
        <v>277</v>
      </c>
      <c r="C257" t="s">
        <v>595</v>
      </c>
      <c r="D257">
        <v>0</v>
      </c>
      <c r="E257">
        <v>0</v>
      </c>
      <c r="F257" s="4" t="str">
        <f>'1a. Original Dataset Format'!B257</f>
        <v>Numeric</v>
      </c>
      <c r="G257" s="4" t="str">
        <f t="shared" si="14"/>
        <v>Fine</v>
      </c>
      <c r="H257" s="4" t="str">
        <f t="shared" si="15"/>
        <v>Numeric</v>
      </c>
      <c r="I257" s="4" t="s">
        <v>87</v>
      </c>
      <c r="K257" s="4"/>
    </row>
    <row r="258" spans="1:11" x14ac:dyDescent="0.3">
      <c r="A258" t="s">
        <v>596</v>
      </c>
      <c r="B258" t="s">
        <v>277</v>
      </c>
      <c r="C258" t="s">
        <v>596</v>
      </c>
      <c r="D258">
        <v>0</v>
      </c>
      <c r="E258">
        <v>0</v>
      </c>
      <c r="F258" s="4" t="str">
        <f>'1a. Original Dataset Format'!B258</f>
        <v>Numeric</v>
      </c>
      <c r="G258" s="4" t="str">
        <f t="shared" si="14"/>
        <v>Fine</v>
      </c>
      <c r="H258" s="4" t="str">
        <f t="shared" si="15"/>
        <v>Numeric</v>
      </c>
      <c r="I258" s="4" t="s">
        <v>87</v>
      </c>
      <c r="K258" s="4"/>
    </row>
    <row r="259" spans="1:11" x14ac:dyDescent="0.3">
      <c r="A259" t="s">
        <v>597</v>
      </c>
      <c r="B259" t="s">
        <v>263</v>
      </c>
      <c r="C259" t="s">
        <v>597</v>
      </c>
      <c r="D259">
        <v>0</v>
      </c>
      <c r="E259">
        <v>0</v>
      </c>
      <c r="F259" s="4" t="str">
        <f>'1a. Original Dataset Format'!B259</f>
        <v>Numeric</v>
      </c>
      <c r="G259" s="4" t="str">
        <f t="shared" si="14"/>
        <v>Fine</v>
      </c>
      <c r="H259" s="4" t="str">
        <f t="shared" si="15"/>
        <v>Numeric</v>
      </c>
      <c r="I259" s="4" t="s">
        <v>87</v>
      </c>
      <c r="K259" s="4"/>
    </row>
    <row r="260" spans="1:11" x14ac:dyDescent="0.3">
      <c r="A260" t="s">
        <v>598</v>
      </c>
      <c r="B260" t="s">
        <v>263</v>
      </c>
      <c r="C260" t="s">
        <v>598</v>
      </c>
      <c r="D260">
        <v>0</v>
      </c>
      <c r="E260">
        <v>0</v>
      </c>
      <c r="F260" s="4" t="str">
        <f>'1a. Original Dataset Format'!B260</f>
        <v>Numeric</v>
      </c>
      <c r="G260" s="4" t="str">
        <f t="shared" si="14"/>
        <v>Fine</v>
      </c>
      <c r="H260" s="4" t="str">
        <f t="shared" si="15"/>
        <v>Numeric</v>
      </c>
      <c r="I260" s="4" t="s">
        <v>87</v>
      </c>
      <c r="K260" s="4"/>
    </row>
    <row r="261" spans="1:11" x14ac:dyDescent="0.3">
      <c r="A261" t="s">
        <v>599</v>
      </c>
      <c r="B261" t="s">
        <v>263</v>
      </c>
      <c r="C261" t="s">
        <v>599</v>
      </c>
      <c r="D261">
        <v>0</v>
      </c>
      <c r="E261">
        <v>0</v>
      </c>
      <c r="F261" s="4" t="str">
        <f>'1a. Original Dataset Format'!B261</f>
        <v>Numeric</v>
      </c>
      <c r="G261" s="4" t="str">
        <f t="shared" si="14"/>
        <v>Fine</v>
      </c>
      <c r="H261" s="4" t="str">
        <f t="shared" si="15"/>
        <v>Numeric</v>
      </c>
      <c r="I261" s="4" t="s">
        <v>87</v>
      </c>
      <c r="K261" s="4"/>
    </row>
    <row r="262" spans="1:11" x14ac:dyDescent="0.3">
      <c r="A262" t="s">
        <v>601</v>
      </c>
      <c r="B262" t="s">
        <v>263</v>
      </c>
      <c r="C262" t="s">
        <v>601</v>
      </c>
      <c r="D262">
        <v>0</v>
      </c>
      <c r="E262">
        <v>0</v>
      </c>
      <c r="F262" s="4" t="str">
        <f>'1a. Original Dataset Format'!B262</f>
        <v>Numeric</v>
      </c>
      <c r="G262" s="4" t="str">
        <f t="shared" si="14"/>
        <v>Fine</v>
      </c>
      <c r="H262" s="4" t="str">
        <f t="shared" si="15"/>
        <v>Numeric</v>
      </c>
      <c r="I262" s="4" t="s">
        <v>87</v>
      </c>
      <c r="K262" s="4"/>
    </row>
    <row r="263" spans="1:11" x14ac:dyDescent="0.3">
      <c r="A263" t="s">
        <v>603</v>
      </c>
      <c r="B263" t="s">
        <v>277</v>
      </c>
      <c r="C263" t="s">
        <v>603</v>
      </c>
      <c r="D263">
        <v>0</v>
      </c>
      <c r="E263">
        <v>0</v>
      </c>
      <c r="F263" s="4" t="str">
        <f>'1a. Original Dataset Format'!B263</f>
        <v>Numeric</v>
      </c>
      <c r="G263" s="4" t="str">
        <f t="shared" si="14"/>
        <v>Fine</v>
      </c>
      <c r="H263" s="4" t="str">
        <f t="shared" si="15"/>
        <v>Numeric</v>
      </c>
      <c r="I263" s="4" t="s">
        <v>87</v>
      </c>
      <c r="K263" s="4"/>
    </row>
    <row r="264" spans="1:11" x14ac:dyDescent="0.3">
      <c r="A264" t="s">
        <v>604</v>
      </c>
      <c r="B264" t="s">
        <v>277</v>
      </c>
      <c r="C264" t="s">
        <v>604</v>
      </c>
      <c r="D264">
        <v>0</v>
      </c>
      <c r="E264">
        <v>0</v>
      </c>
      <c r="F264" s="4" t="str">
        <f>'1a. Original Dataset Format'!B264</f>
        <v>Numeric</v>
      </c>
      <c r="G264" s="4" t="str">
        <f t="shared" si="14"/>
        <v>Fine</v>
      </c>
      <c r="H264" s="4" t="str">
        <f t="shared" si="15"/>
        <v>Numeric</v>
      </c>
      <c r="I264" s="4" t="s">
        <v>87</v>
      </c>
      <c r="K264" s="4"/>
    </row>
    <row r="265" spans="1:11" x14ac:dyDescent="0.3">
      <c r="A265" t="s">
        <v>605</v>
      </c>
      <c r="B265" t="s">
        <v>276</v>
      </c>
      <c r="C265" t="s">
        <v>605</v>
      </c>
      <c r="D265">
        <v>0</v>
      </c>
      <c r="E265">
        <v>0</v>
      </c>
      <c r="F265" s="4" t="str">
        <f>'1a. Original Dataset Format'!B265</f>
        <v>Character</v>
      </c>
      <c r="G265" s="4" t="str">
        <f t="shared" si="14"/>
        <v>Fine</v>
      </c>
      <c r="H265" s="4" t="str">
        <f t="shared" si="15"/>
        <v>Character</v>
      </c>
      <c r="I265" s="4" t="s">
        <v>87</v>
      </c>
      <c r="K265" s="4"/>
    </row>
    <row r="266" spans="1:11" x14ac:dyDescent="0.3">
      <c r="A266" t="s">
        <v>608</v>
      </c>
      <c r="B266" t="s">
        <v>263</v>
      </c>
      <c r="C266" t="s">
        <v>608</v>
      </c>
      <c r="D266">
        <v>0</v>
      </c>
      <c r="E266">
        <v>0</v>
      </c>
      <c r="F266" s="4" t="str">
        <f>'1a. Original Dataset Format'!B266</f>
        <v>Numeric</v>
      </c>
      <c r="G266" s="4" t="str">
        <f t="shared" si="14"/>
        <v>Fine</v>
      </c>
      <c r="H266" s="4" t="str">
        <f t="shared" si="15"/>
        <v>Numeric</v>
      </c>
      <c r="I266" s="4" t="s">
        <v>87</v>
      </c>
      <c r="K266" s="4"/>
    </row>
    <row r="267" spans="1:11" x14ac:dyDescent="0.3">
      <c r="A267" t="s">
        <v>609</v>
      </c>
      <c r="B267" t="s">
        <v>263</v>
      </c>
      <c r="C267" t="s">
        <v>609</v>
      </c>
      <c r="D267">
        <v>0</v>
      </c>
      <c r="E267">
        <v>0</v>
      </c>
      <c r="F267" s="4" t="str">
        <f>'1a. Original Dataset Format'!B267</f>
        <v>Numeric</v>
      </c>
      <c r="G267" s="4" t="str">
        <f t="shared" si="14"/>
        <v>Fine</v>
      </c>
      <c r="H267" s="4" t="str">
        <f t="shared" si="15"/>
        <v>Numeric</v>
      </c>
      <c r="I267" s="4" t="s">
        <v>87</v>
      </c>
      <c r="K267" s="4"/>
    </row>
    <row r="268" spans="1:11" x14ac:dyDescent="0.3">
      <c r="A268" t="s">
        <v>610</v>
      </c>
      <c r="B268" t="s">
        <v>263</v>
      </c>
      <c r="C268" t="s">
        <v>610</v>
      </c>
      <c r="D268">
        <v>0</v>
      </c>
      <c r="E268">
        <v>0</v>
      </c>
      <c r="F268" s="4" t="str">
        <f>'1a. Original Dataset Format'!B268</f>
        <v>Numeric</v>
      </c>
      <c r="G268" s="4" t="str">
        <f t="shared" si="14"/>
        <v>Fine</v>
      </c>
      <c r="H268" s="4" t="str">
        <f t="shared" si="15"/>
        <v>Numeric</v>
      </c>
      <c r="I268" s="4" t="s">
        <v>87</v>
      </c>
      <c r="K268" s="4"/>
    </row>
    <row r="269" spans="1:11" x14ac:dyDescent="0.3">
      <c r="A269" t="s">
        <v>611</v>
      </c>
      <c r="B269" t="s">
        <v>263</v>
      </c>
      <c r="C269" t="s">
        <v>611</v>
      </c>
      <c r="D269">
        <v>0</v>
      </c>
      <c r="E269">
        <v>0</v>
      </c>
      <c r="F269" s="4" t="str">
        <f>'1a. Original Dataset Format'!B269</f>
        <v>Numeric</v>
      </c>
      <c r="G269" s="4" t="str">
        <f t="shared" si="14"/>
        <v>Fine</v>
      </c>
      <c r="H269" s="4" t="str">
        <f t="shared" si="15"/>
        <v>Numeric</v>
      </c>
      <c r="I269" s="4" t="s">
        <v>87</v>
      </c>
      <c r="K269" s="4"/>
    </row>
    <row r="270" spans="1:11" x14ac:dyDescent="0.3">
      <c r="A270" t="s">
        <v>612</v>
      </c>
      <c r="B270" t="s">
        <v>277</v>
      </c>
      <c r="C270" t="s">
        <v>612</v>
      </c>
      <c r="D270">
        <v>0</v>
      </c>
      <c r="E270">
        <v>0</v>
      </c>
      <c r="F270" s="4" t="str">
        <f>'1a. Original Dataset Format'!B270</f>
        <v>Numeric</v>
      </c>
      <c r="G270" s="4" t="str">
        <f t="shared" si="14"/>
        <v>Fine</v>
      </c>
      <c r="H270" s="4" t="str">
        <f t="shared" si="15"/>
        <v>Numeric</v>
      </c>
      <c r="K270" s="4"/>
    </row>
    <row r="271" spans="1:11" x14ac:dyDescent="0.3">
      <c r="A271" t="s">
        <v>613</v>
      </c>
      <c r="B271" t="s">
        <v>277</v>
      </c>
      <c r="C271" t="s">
        <v>613</v>
      </c>
      <c r="D271">
        <v>0</v>
      </c>
      <c r="E271">
        <v>0</v>
      </c>
      <c r="F271" s="4" t="str">
        <f>'1a. Original Dataset Format'!B271</f>
        <v>Numeric</v>
      </c>
      <c r="G271" s="4" t="str">
        <f t="shared" si="14"/>
        <v>Fine</v>
      </c>
      <c r="H271" s="4" t="str">
        <f t="shared" si="15"/>
        <v>Numeric</v>
      </c>
      <c r="K271" s="4"/>
    </row>
    <row r="272" spans="1:11" x14ac:dyDescent="0.3">
      <c r="A272" t="s">
        <v>615</v>
      </c>
      <c r="B272" t="s">
        <v>277</v>
      </c>
      <c r="C272" t="s">
        <v>615</v>
      </c>
      <c r="D272">
        <v>0</v>
      </c>
      <c r="E272">
        <v>0</v>
      </c>
      <c r="F272" s="4" t="str">
        <f>'1a. Original Dataset Format'!B272</f>
        <v>Numeric</v>
      </c>
      <c r="G272" s="4" t="str">
        <f t="shared" si="14"/>
        <v>Fine</v>
      </c>
      <c r="H272" s="4" t="str">
        <f t="shared" si="15"/>
        <v>Numeric</v>
      </c>
      <c r="K272" s="4"/>
    </row>
    <row r="273" spans="1:11" x14ac:dyDescent="0.3">
      <c r="A273" t="s">
        <v>616</v>
      </c>
      <c r="B273" t="s">
        <v>277</v>
      </c>
      <c r="C273" t="s">
        <v>616</v>
      </c>
      <c r="D273">
        <v>0</v>
      </c>
      <c r="E273">
        <v>0</v>
      </c>
      <c r="F273" s="4" t="str">
        <f>'1a. Original Dataset Format'!B273</f>
        <v>Numeric</v>
      </c>
      <c r="G273" s="4" t="str">
        <f t="shared" si="14"/>
        <v>Fine</v>
      </c>
      <c r="H273" s="4" t="str">
        <f t="shared" si="15"/>
        <v>Numeric</v>
      </c>
      <c r="K273" s="4"/>
    </row>
    <row r="274" spans="1:11" x14ac:dyDescent="0.3">
      <c r="A274" t="s">
        <v>617</v>
      </c>
      <c r="B274" t="s">
        <v>276</v>
      </c>
      <c r="C274" t="s">
        <v>617</v>
      </c>
      <c r="D274">
        <v>0</v>
      </c>
      <c r="E274">
        <v>0</v>
      </c>
      <c r="F274" s="4" t="str">
        <f>'1a. Original Dataset Format'!B274</f>
        <v>Character</v>
      </c>
      <c r="G274" s="4" t="str">
        <f t="shared" si="14"/>
        <v>Fine</v>
      </c>
      <c r="H274" s="4" t="str">
        <f t="shared" si="15"/>
        <v>Character</v>
      </c>
      <c r="I274" s="4" t="s">
        <v>87</v>
      </c>
      <c r="K274" s="4"/>
    </row>
    <row r="275" spans="1:11" x14ac:dyDescent="0.3">
      <c r="A275" t="s">
        <v>619</v>
      </c>
      <c r="B275" t="s">
        <v>276</v>
      </c>
      <c r="C275" t="s">
        <v>619</v>
      </c>
      <c r="D275">
        <v>0</v>
      </c>
      <c r="E275">
        <v>0</v>
      </c>
      <c r="F275" s="4" t="str">
        <f>'1a. Original Dataset Format'!B275</f>
        <v>Character</v>
      </c>
      <c r="G275" s="4" t="str">
        <f t="shared" si="14"/>
        <v>Fine</v>
      </c>
      <c r="H275" s="4" t="str">
        <f t="shared" si="15"/>
        <v>Character</v>
      </c>
      <c r="I275" s="4" t="s">
        <v>87</v>
      </c>
      <c r="K275" s="4"/>
    </row>
    <row r="276" spans="1:11" x14ac:dyDescent="0.3">
      <c r="A276" t="s">
        <v>621</v>
      </c>
      <c r="B276" t="s">
        <v>276</v>
      </c>
      <c r="C276" t="s">
        <v>621</v>
      </c>
      <c r="D276">
        <v>0</v>
      </c>
      <c r="E276">
        <v>0</v>
      </c>
      <c r="F276" s="4" t="str">
        <f>'1a. Original Dataset Format'!B276</f>
        <v>Character</v>
      </c>
      <c r="G276" s="4" t="str">
        <f t="shared" si="14"/>
        <v>Fine</v>
      </c>
      <c r="H276" s="4" t="str">
        <f t="shared" si="15"/>
        <v>Character</v>
      </c>
      <c r="I276" s="4" t="s">
        <v>87</v>
      </c>
      <c r="K276" s="4"/>
    </row>
    <row r="277" spans="1:11" x14ac:dyDescent="0.3">
      <c r="A277" t="s">
        <v>1</v>
      </c>
      <c r="B277" t="s">
        <v>276</v>
      </c>
      <c r="C277" t="s">
        <v>1</v>
      </c>
      <c r="D277">
        <v>0</v>
      </c>
      <c r="E277">
        <v>0</v>
      </c>
      <c r="F277" s="4" t="str">
        <f>'1a. Original Dataset Format'!B277</f>
        <v>Character</v>
      </c>
      <c r="G277" s="4" t="str">
        <f t="shared" si="14"/>
        <v>Fine</v>
      </c>
      <c r="H277" s="4" t="str">
        <f t="shared" si="15"/>
        <v>Character</v>
      </c>
      <c r="I277" s="4" t="s">
        <v>87</v>
      </c>
      <c r="K277" s="4"/>
    </row>
    <row r="278" spans="1:11" x14ac:dyDescent="0.3">
      <c r="A278" t="s">
        <v>623</v>
      </c>
      <c r="B278" t="s">
        <v>276</v>
      </c>
      <c r="C278" t="s">
        <v>623</v>
      </c>
      <c r="D278">
        <v>0</v>
      </c>
      <c r="E278">
        <v>0</v>
      </c>
      <c r="F278" s="4" t="str">
        <f>'1a. Original Dataset Format'!B278</f>
        <v>Character</v>
      </c>
      <c r="G278" s="4" t="str">
        <f t="shared" si="14"/>
        <v>Fine</v>
      </c>
      <c r="H278" s="4" t="str">
        <f t="shared" si="15"/>
        <v>Character</v>
      </c>
      <c r="J278" s="4" t="s">
        <v>87</v>
      </c>
      <c r="K278" s="4"/>
    </row>
    <row r="279" spans="1:11" x14ac:dyDescent="0.3">
      <c r="A279" t="s">
        <v>625</v>
      </c>
      <c r="B279" t="s">
        <v>276</v>
      </c>
      <c r="C279" t="s">
        <v>625</v>
      </c>
      <c r="D279">
        <v>0</v>
      </c>
      <c r="E279">
        <v>0</v>
      </c>
      <c r="F279" s="4" t="str">
        <f>'1a. Original Dataset Format'!B279</f>
        <v>Character</v>
      </c>
      <c r="G279" s="4" t="str">
        <f t="shared" si="14"/>
        <v>Fine</v>
      </c>
      <c r="H279" s="4" t="str">
        <f t="shared" si="15"/>
        <v>Character</v>
      </c>
      <c r="J279" s="4" t="s">
        <v>87</v>
      </c>
      <c r="K279" s="4"/>
    </row>
    <row r="280" spans="1:11" x14ac:dyDescent="0.3">
      <c r="A280" t="s">
        <v>627</v>
      </c>
      <c r="B280" t="s">
        <v>276</v>
      </c>
      <c r="C280" t="s">
        <v>627</v>
      </c>
      <c r="D280">
        <v>0</v>
      </c>
      <c r="E280">
        <v>0</v>
      </c>
      <c r="F280" s="4" t="str">
        <f>'1a. Original Dataset Format'!B280</f>
        <v>Character</v>
      </c>
      <c r="G280" s="4" t="str">
        <f t="shared" si="14"/>
        <v>Fine</v>
      </c>
      <c r="H280" s="4" t="str">
        <f t="shared" si="15"/>
        <v>Character</v>
      </c>
      <c r="I280" s="4" t="s">
        <v>87</v>
      </c>
      <c r="K280" s="4"/>
    </row>
    <row r="281" spans="1:11" x14ac:dyDescent="0.3">
      <c r="A281" t="s">
        <v>628</v>
      </c>
      <c r="B281" t="s">
        <v>263</v>
      </c>
      <c r="C281" t="s">
        <v>628</v>
      </c>
      <c r="D281">
        <v>0</v>
      </c>
      <c r="E281">
        <v>0</v>
      </c>
      <c r="F281" s="4" t="str">
        <f>'1a. Original Dataset Format'!B281</f>
        <v>Numeric</v>
      </c>
      <c r="G281" s="4" t="str">
        <f t="shared" si="14"/>
        <v>Fine</v>
      </c>
      <c r="H281" s="4" t="str">
        <f t="shared" si="15"/>
        <v>Numeric</v>
      </c>
      <c r="I281" s="4" t="s">
        <v>87</v>
      </c>
      <c r="K281" s="4"/>
    </row>
    <row r="282" spans="1:11" x14ac:dyDescent="0.3">
      <c r="A282" t="s">
        <v>629</v>
      </c>
      <c r="B282" t="s">
        <v>276</v>
      </c>
      <c r="C282" t="s">
        <v>629</v>
      </c>
      <c r="D282">
        <v>0</v>
      </c>
      <c r="E282">
        <v>0</v>
      </c>
      <c r="F282" s="4" t="str">
        <f>'1a. Original Dataset Format'!B282</f>
        <v>Character</v>
      </c>
      <c r="G282" s="4" t="str">
        <f t="shared" si="14"/>
        <v>Fine</v>
      </c>
      <c r="H282" s="4" t="str">
        <f t="shared" si="15"/>
        <v>Character</v>
      </c>
      <c r="I282" s="4" t="s">
        <v>87</v>
      </c>
      <c r="K282" s="4"/>
    </row>
    <row r="283" spans="1:11" x14ac:dyDescent="0.3">
      <c r="A283" t="s">
        <v>632</v>
      </c>
      <c r="B283" t="s">
        <v>276</v>
      </c>
      <c r="C283" t="s">
        <v>632</v>
      </c>
      <c r="D283">
        <v>0</v>
      </c>
      <c r="E283">
        <v>0</v>
      </c>
      <c r="F283" s="4" t="str">
        <f>'1a. Original Dataset Format'!B283</f>
        <v>Character</v>
      </c>
      <c r="G283" s="4" t="str">
        <f t="shared" si="14"/>
        <v>Fine</v>
      </c>
      <c r="H283" s="4" t="str">
        <f t="shared" si="15"/>
        <v>Character</v>
      </c>
      <c r="I283" s="4" t="s">
        <v>87</v>
      </c>
      <c r="K283" s="4"/>
    </row>
    <row r="284" spans="1:11" x14ac:dyDescent="0.3">
      <c r="A284" t="s">
        <v>635</v>
      </c>
      <c r="B284" t="s">
        <v>263</v>
      </c>
      <c r="C284" t="s">
        <v>635</v>
      </c>
      <c r="D284">
        <v>0</v>
      </c>
      <c r="E284">
        <v>0</v>
      </c>
      <c r="F284" s="4" t="str">
        <f>'1a. Original Dataset Format'!B284</f>
        <v>Numeric</v>
      </c>
      <c r="G284" s="4" t="str">
        <f t="shared" si="14"/>
        <v>Fine</v>
      </c>
      <c r="H284" s="4" t="str">
        <f t="shared" si="15"/>
        <v>Numeric</v>
      </c>
      <c r="I284" s="4" t="s">
        <v>87</v>
      </c>
      <c r="K284" s="4"/>
    </row>
    <row r="285" spans="1:11" x14ac:dyDescent="0.3">
      <c r="A285" t="s">
        <v>636</v>
      </c>
      <c r="B285" t="s">
        <v>263</v>
      </c>
      <c r="C285" t="s">
        <v>636</v>
      </c>
      <c r="D285">
        <v>0</v>
      </c>
      <c r="E285">
        <v>0</v>
      </c>
      <c r="F285" s="4" t="str">
        <f>'1a. Original Dataset Format'!B285</f>
        <v>Numeric</v>
      </c>
      <c r="G285" s="4" t="str">
        <f t="shared" si="14"/>
        <v>Fine</v>
      </c>
      <c r="H285" s="4" t="str">
        <f t="shared" si="15"/>
        <v>Numeric</v>
      </c>
      <c r="K285" s="4"/>
    </row>
    <row r="286" spans="1:11" x14ac:dyDescent="0.3">
      <c r="A286" t="s">
        <v>256</v>
      </c>
      <c r="B286" t="s">
        <v>263</v>
      </c>
      <c r="C286" t="s">
        <v>256</v>
      </c>
      <c r="D286">
        <v>0</v>
      </c>
      <c r="E286">
        <v>0</v>
      </c>
      <c r="F286" s="4" t="str">
        <f>'1a. Original Dataset Format'!B286</f>
        <v>Numeric</v>
      </c>
      <c r="G286" s="4" t="str">
        <f t="shared" si="14"/>
        <v>Fine</v>
      </c>
      <c r="H286" s="4" t="str">
        <f t="shared" si="15"/>
        <v>Numeric</v>
      </c>
      <c r="I286" s="4" t="s">
        <v>87</v>
      </c>
      <c r="K286" s="4"/>
    </row>
    <row r="287" spans="1:11" x14ac:dyDescent="0.3">
      <c r="A287" t="s">
        <v>637</v>
      </c>
      <c r="B287" t="s">
        <v>277</v>
      </c>
      <c r="C287" t="s">
        <v>637</v>
      </c>
      <c r="D287">
        <v>0</v>
      </c>
      <c r="E287">
        <v>0</v>
      </c>
      <c r="F287" s="4" t="str">
        <f>'1a. Original Dataset Format'!B287</f>
        <v>Numeric</v>
      </c>
      <c r="G287" s="4" t="str">
        <f t="shared" si="14"/>
        <v>Fine</v>
      </c>
      <c r="H287" s="4" t="str">
        <f t="shared" si="15"/>
        <v>Numeric</v>
      </c>
      <c r="I287" s="4" t="s">
        <v>87</v>
      </c>
      <c r="K287" s="4"/>
    </row>
    <row r="288" spans="1:11" x14ac:dyDescent="0.3">
      <c r="A288" t="s">
        <v>638</v>
      </c>
      <c r="B288" t="s">
        <v>263</v>
      </c>
      <c r="C288" t="s">
        <v>638</v>
      </c>
      <c r="D288">
        <v>0</v>
      </c>
      <c r="E288">
        <v>0</v>
      </c>
      <c r="F288" s="4" t="str">
        <f>'1a. Original Dataset Format'!B288</f>
        <v>Numeric</v>
      </c>
      <c r="G288" s="4" t="str">
        <f t="shared" si="14"/>
        <v>Fine</v>
      </c>
      <c r="H288" s="4" t="str">
        <f t="shared" si="15"/>
        <v>Numeric</v>
      </c>
      <c r="K288" s="4"/>
    </row>
    <row r="289" spans="1:11" x14ac:dyDescent="0.3">
      <c r="A289" t="s">
        <v>639</v>
      </c>
      <c r="B289" t="s">
        <v>263</v>
      </c>
      <c r="C289" t="s">
        <v>639</v>
      </c>
      <c r="D289">
        <v>0</v>
      </c>
      <c r="E289">
        <v>0</v>
      </c>
      <c r="F289" s="4" t="str">
        <f>'1a. Original Dataset Format'!B289</f>
        <v>Numeric</v>
      </c>
      <c r="G289" s="4" t="str">
        <f t="shared" si="14"/>
        <v>Fine</v>
      </c>
      <c r="H289" s="4" t="str">
        <f t="shared" si="15"/>
        <v>Numeric</v>
      </c>
      <c r="K289" s="4"/>
    </row>
    <row r="290" spans="1:11" x14ac:dyDescent="0.3">
      <c r="A290" t="s">
        <v>640</v>
      </c>
      <c r="B290" t="s">
        <v>263</v>
      </c>
      <c r="C290" t="s">
        <v>640</v>
      </c>
      <c r="D290">
        <v>0</v>
      </c>
      <c r="E290">
        <v>0</v>
      </c>
      <c r="F290" s="4" t="str">
        <f>'1a. Original Dataset Format'!B290</f>
        <v>Numeric</v>
      </c>
      <c r="G290" s="4" t="str">
        <f t="shared" si="14"/>
        <v>Fine</v>
      </c>
      <c r="H290" s="4" t="str">
        <f t="shared" si="15"/>
        <v>Numeric</v>
      </c>
      <c r="K290" s="4"/>
    </row>
    <row r="291" spans="1:11" x14ac:dyDescent="0.3">
      <c r="A291" t="s">
        <v>257</v>
      </c>
      <c r="B291" t="s">
        <v>263</v>
      </c>
      <c r="C291" t="s">
        <v>257</v>
      </c>
      <c r="D291">
        <v>0</v>
      </c>
      <c r="E291">
        <v>0</v>
      </c>
      <c r="F291" s="4" t="str">
        <f>'1a. Original Dataset Format'!B291</f>
        <v>Numeric</v>
      </c>
      <c r="G291" s="4" t="str">
        <f t="shared" si="14"/>
        <v>Fine</v>
      </c>
      <c r="H291" s="4" t="str">
        <f t="shared" si="15"/>
        <v>Numeric</v>
      </c>
      <c r="K291" s="4"/>
    </row>
    <row r="292" spans="1:11" x14ac:dyDescent="0.3">
      <c r="A292" t="s">
        <v>641</v>
      </c>
      <c r="B292" t="s">
        <v>263</v>
      </c>
      <c r="C292" t="s">
        <v>641</v>
      </c>
      <c r="D292">
        <v>0</v>
      </c>
      <c r="E292">
        <v>0</v>
      </c>
      <c r="F292" s="4" t="str">
        <f>'1a. Original Dataset Format'!B292</f>
        <v>Numeric</v>
      </c>
      <c r="G292" s="4" t="str">
        <f t="shared" si="14"/>
        <v>Fine</v>
      </c>
      <c r="H292" s="4" t="str">
        <f t="shared" si="15"/>
        <v>Numeric</v>
      </c>
      <c r="K292" s="4"/>
    </row>
  </sheetData>
  <autoFilter ref="A1:J292" xr:uid="{00000000-0009-0000-0000-000005000000}"/>
  <pageMargins left="0.7" right="0.7" top="0.75" bottom="0.75" header="0.3" footer="0.3"/>
  <headerFooter>
    <oddFooter>&amp;L_x000D_&amp;1#&amp;"Calibri"&amp;11&amp;K000000 Non-Confidential - Anyone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6" tint="0.39997558519241921"/>
  </sheetPr>
  <dimension ref="A1:B66"/>
  <sheetViews>
    <sheetView workbookViewId="0">
      <pane ySplit="1" topLeftCell="A30" activePane="bottomLeft" state="frozen"/>
      <selection activeCell="P39" sqref="P39"/>
      <selection pane="bottomLeft" activeCell="B2" sqref="B2:B66"/>
    </sheetView>
  </sheetViews>
  <sheetFormatPr defaultRowHeight="14.4" x14ac:dyDescent="0.3"/>
  <cols>
    <col min="1" max="1" width="21.44140625" customWidth="1"/>
    <col min="2" max="2" width="21.44140625" style="5" customWidth="1"/>
  </cols>
  <sheetData>
    <row r="1" spans="1:2" s="1" customFormat="1" x14ac:dyDescent="0.3">
      <c r="A1" s="1" t="s">
        <v>103</v>
      </c>
      <c r="B1" s="6" t="s">
        <v>60</v>
      </c>
    </row>
    <row r="2" spans="1:2" x14ac:dyDescent="0.3">
      <c r="A2" t="s">
        <v>325</v>
      </c>
      <c r="B2" s="10" t="s">
        <v>830</v>
      </c>
    </row>
    <row r="3" spans="1:2" x14ac:dyDescent="0.3">
      <c r="A3" t="s">
        <v>336</v>
      </c>
      <c r="B3" s="10" t="s">
        <v>831</v>
      </c>
    </row>
    <row r="4" spans="1:2" x14ac:dyDescent="0.3">
      <c r="A4" t="s">
        <v>337</v>
      </c>
      <c r="B4" s="10" t="s">
        <v>832</v>
      </c>
    </row>
    <row r="5" spans="1:2" x14ac:dyDescent="0.3">
      <c r="A5" t="s">
        <v>341</v>
      </c>
      <c r="B5" s="10" t="s">
        <v>833</v>
      </c>
    </row>
    <row r="6" spans="1:2" x14ac:dyDescent="0.3">
      <c r="A6" t="s">
        <v>344</v>
      </c>
      <c r="B6" s="10" t="s">
        <v>834</v>
      </c>
    </row>
    <row r="7" spans="1:2" x14ac:dyDescent="0.3">
      <c r="A7" t="s">
        <v>347</v>
      </c>
      <c r="B7" s="10" t="s">
        <v>835</v>
      </c>
    </row>
    <row r="8" spans="1:2" x14ac:dyDescent="0.3">
      <c r="A8" t="s">
        <v>351</v>
      </c>
      <c r="B8" s="10" t="s">
        <v>836</v>
      </c>
    </row>
    <row r="9" spans="1:2" x14ac:dyDescent="0.3">
      <c r="A9" t="s">
        <v>352</v>
      </c>
      <c r="B9" s="10" t="s">
        <v>837</v>
      </c>
    </row>
    <row r="10" spans="1:2" x14ac:dyDescent="0.3">
      <c r="A10" t="s">
        <v>356</v>
      </c>
      <c r="B10" s="10" t="s">
        <v>838</v>
      </c>
    </row>
    <row r="11" spans="1:2" x14ac:dyDescent="0.3">
      <c r="A11" t="s">
        <v>371</v>
      </c>
      <c r="B11" s="10" t="s">
        <v>839</v>
      </c>
    </row>
    <row r="12" spans="1:2" x14ac:dyDescent="0.3">
      <c r="A12" t="s">
        <v>380</v>
      </c>
      <c r="B12" s="10" t="s">
        <v>840</v>
      </c>
    </row>
    <row r="13" spans="1:2" x14ac:dyDescent="0.3">
      <c r="A13" t="s">
        <v>389</v>
      </c>
      <c r="B13" s="10" t="s">
        <v>841</v>
      </c>
    </row>
    <row r="14" spans="1:2" x14ac:dyDescent="0.3">
      <c r="A14" t="s">
        <v>398</v>
      </c>
      <c r="B14" s="10" t="s">
        <v>842</v>
      </c>
    </row>
    <row r="15" spans="1:2" x14ac:dyDescent="0.3">
      <c r="A15" t="s">
        <v>407</v>
      </c>
      <c r="B15" s="10" t="s">
        <v>843</v>
      </c>
    </row>
    <row r="16" spans="1:2" x14ac:dyDescent="0.3">
      <c r="A16" t="s">
        <v>416</v>
      </c>
      <c r="B16" s="10" t="s">
        <v>844</v>
      </c>
    </row>
    <row r="17" spans="1:2" x14ac:dyDescent="0.3">
      <c r="A17" t="s">
        <v>425</v>
      </c>
      <c r="B17" s="10" t="s">
        <v>845</v>
      </c>
    </row>
    <row r="18" spans="1:2" x14ac:dyDescent="0.3">
      <c r="A18" t="s">
        <v>434</v>
      </c>
      <c r="B18" s="10" t="s">
        <v>846</v>
      </c>
    </row>
    <row r="19" spans="1:2" x14ac:dyDescent="0.3">
      <c r="A19" t="s">
        <v>446</v>
      </c>
      <c r="B19" s="10" t="s">
        <v>847</v>
      </c>
    </row>
    <row r="20" spans="1:2" x14ac:dyDescent="0.3">
      <c r="A20" t="s">
        <v>456</v>
      </c>
      <c r="B20" s="10" t="s">
        <v>848</v>
      </c>
    </row>
    <row r="21" spans="1:2" x14ac:dyDescent="0.3">
      <c r="A21" t="s">
        <v>457</v>
      </c>
      <c r="B21" s="10" t="s">
        <v>849</v>
      </c>
    </row>
    <row r="22" spans="1:2" x14ac:dyDescent="0.3">
      <c r="A22" t="s">
        <v>464</v>
      </c>
      <c r="B22" s="10" t="s">
        <v>850</v>
      </c>
    </row>
    <row r="23" spans="1:2" x14ac:dyDescent="0.3">
      <c r="A23" t="s">
        <v>465</v>
      </c>
      <c r="B23" s="10" t="s">
        <v>851</v>
      </c>
    </row>
    <row r="24" spans="1:2" x14ac:dyDescent="0.3">
      <c r="A24" t="s">
        <v>311</v>
      </c>
      <c r="B24" s="10" t="s">
        <v>852</v>
      </c>
    </row>
    <row r="25" spans="1:2" x14ac:dyDescent="0.3">
      <c r="A25" t="s">
        <v>472</v>
      </c>
      <c r="B25" s="10" t="s">
        <v>853</v>
      </c>
    </row>
    <row r="26" spans="1:2" x14ac:dyDescent="0.3">
      <c r="A26" t="s">
        <v>473</v>
      </c>
      <c r="B26" s="10" t="s">
        <v>854</v>
      </c>
    </row>
    <row r="27" spans="1:2" x14ac:dyDescent="0.3">
      <c r="A27" t="s">
        <v>474</v>
      </c>
      <c r="B27" s="10" t="s">
        <v>855</v>
      </c>
    </row>
    <row r="28" spans="1:2" x14ac:dyDescent="0.3">
      <c r="A28" t="s">
        <v>475</v>
      </c>
      <c r="B28" s="10" t="s">
        <v>856</v>
      </c>
    </row>
    <row r="29" spans="1:2" x14ac:dyDescent="0.3">
      <c r="A29" t="s">
        <v>479</v>
      </c>
      <c r="B29" s="10" t="s">
        <v>857</v>
      </c>
    </row>
    <row r="30" spans="1:2" x14ac:dyDescent="0.3">
      <c r="A30" t="s">
        <v>480</v>
      </c>
      <c r="B30" s="10" t="s">
        <v>858</v>
      </c>
    </row>
    <row r="31" spans="1:2" x14ac:dyDescent="0.3">
      <c r="A31" t="s">
        <v>481</v>
      </c>
      <c r="B31" s="10" t="s">
        <v>859</v>
      </c>
    </row>
    <row r="32" spans="1:2" x14ac:dyDescent="0.3">
      <c r="A32" t="s">
        <v>482</v>
      </c>
      <c r="B32" s="10" t="s">
        <v>860</v>
      </c>
    </row>
    <row r="33" spans="1:2" x14ac:dyDescent="0.3">
      <c r="A33" t="s">
        <v>488</v>
      </c>
      <c r="B33" s="10" t="s">
        <v>861</v>
      </c>
    </row>
    <row r="34" spans="1:2" x14ac:dyDescent="0.3">
      <c r="A34" t="s">
        <v>502</v>
      </c>
      <c r="B34" s="10" t="s">
        <v>862</v>
      </c>
    </row>
    <row r="35" spans="1:2" x14ac:dyDescent="0.3">
      <c r="A35" t="s">
        <v>504</v>
      </c>
      <c r="B35" s="10" t="s">
        <v>863</v>
      </c>
    </row>
    <row r="36" spans="1:2" x14ac:dyDescent="0.3">
      <c r="A36" t="s">
        <v>505</v>
      </c>
      <c r="B36" s="10" t="s">
        <v>864</v>
      </c>
    </row>
    <row r="37" spans="1:2" x14ac:dyDescent="0.3">
      <c r="A37" t="s">
        <v>509</v>
      </c>
      <c r="B37" s="10" t="s">
        <v>865</v>
      </c>
    </row>
    <row r="38" spans="1:2" x14ac:dyDescent="0.3">
      <c r="A38" t="s">
        <v>510</v>
      </c>
      <c r="B38" s="10" t="s">
        <v>866</v>
      </c>
    </row>
    <row r="39" spans="1:2" x14ac:dyDescent="0.3">
      <c r="A39" t="s">
        <v>514</v>
      </c>
      <c r="B39" s="10" t="s">
        <v>867</v>
      </c>
    </row>
    <row r="40" spans="1:2" x14ac:dyDescent="0.3">
      <c r="A40" t="s">
        <v>515</v>
      </c>
      <c r="B40" s="10" t="s">
        <v>868</v>
      </c>
    </row>
    <row r="41" spans="1:2" x14ac:dyDescent="0.3">
      <c r="A41" t="s">
        <v>519</v>
      </c>
      <c r="B41" s="10" t="s">
        <v>869</v>
      </c>
    </row>
    <row r="42" spans="1:2" x14ac:dyDescent="0.3">
      <c r="A42" t="s">
        <v>520</v>
      </c>
      <c r="B42" s="10" t="s">
        <v>870</v>
      </c>
    </row>
    <row r="43" spans="1:2" x14ac:dyDescent="0.3">
      <c r="A43" t="s">
        <v>524</v>
      </c>
      <c r="B43" s="10" t="s">
        <v>871</v>
      </c>
    </row>
    <row r="44" spans="1:2" x14ac:dyDescent="0.3">
      <c r="A44" t="s">
        <v>525</v>
      </c>
      <c r="B44" s="10" t="s">
        <v>872</v>
      </c>
    </row>
    <row r="45" spans="1:2" x14ac:dyDescent="0.3">
      <c r="A45" t="s">
        <v>529</v>
      </c>
      <c r="B45" s="10" t="s">
        <v>873</v>
      </c>
    </row>
    <row r="46" spans="1:2" x14ac:dyDescent="0.3">
      <c r="A46" t="s">
        <v>530</v>
      </c>
      <c r="B46" s="10" t="s">
        <v>874</v>
      </c>
    </row>
    <row r="47" spans="1:2" x14ac:dyDescent="0.3">
      <c r="A47" t="s">
        <v>535</v>
      </c>
      <c r="B47" s="10" t="s">
        <v>875</v>
      </c>
    </row>
    <row r="48" spans="1:2" x14ac:dyDescent="0.3">
      <c r="A48" t="s">
        <v>536</v>
      </c>
      <c r="B48" s="10" t="s">
        <v>876</v>
      </c>
    </row>
    <row r="49" spans="1:2" x14ac:dyDescent="0.3">
      <c r="A49" t="s">
        <v>540</v>
      </c>
      <c r="B49" s="10" t="s">
        <v>877</v>
      </c>
    </row>
    <row r="50" spans="1:2" x14ac:dyDescent="0.3">
      <c r="A50" t="s">
        <v>541</v>
      </c>
      <c r="B50" s="10" t="s">
        <v>878</v>
      </c>
    </row>
    <row r="51" spans="1:2" x14ac:dyDescent="0.3">
      <c r="A51" t="s">
        <v>545</v>
      </c>
      <c r="B51" s="10" t="s">
        <v>879</v>
      </c>
    </row>
    <row r="52" spans="1:2" x14ac:dyDescent="0.3">
      <c r="A52" t="s">
        <v>546</v>
      </c>
      <c r="B52" s="10" t="s">
        <v>880</v>
      </c>
    </row>
    <row r="53" spans="1:2" x14ac:dyDescent="0.3">
      <c r="A53" t="s">
        <v>550</v>
      </c>
      <c r="B53" s="10" t="s">
        <v>881</v>
      </c>
    </row>
    <row r="54" spans="1:2" x14ac:dyDescent="0.3">
      <c r="A54" t="s">
        <v>551</v>
      </c>
      <c r="B54" s="10" t="s">
        <v>882</v>
      </c>
    </row>
    <row r="55" spans="1:2" x14ac:dyDescent="0.3">
      <c r="A55" t="s">
        <v>555</v>
      </c>
      <c r="B55" s="10" t="s">
        <v>883</v>
      </c>
    </row>
    <row r="56" spans="1:2" x14ac:dyDescent="0.3">
      <c r="A56" t="s">
        <v>559</v>
      </c>
      <c r="B56" s="10" t="s">
        <v>884</v>
      </c>
    </row>
    <row r="57" spans="1:2" x14ac:dyDescent="0.3">
      <c r="A57" t="s">
        <v>563</v>
      </c>
      <c r="B57" s="10" t="s">
        <v>885</v>
      </c>
    </row>
    <row r="58" spans="1:2" x14ac:dyDescent="0.3">
      <c r="A58" t="s">
        <v>567</v>
      </c>
      <c r="B58" s="10" t="s">
        <v>886</v>
      </c>
    </row>
    <row r="59" spans="1:2" x14ac:dyDescent="0.3">
      <c r="A59" t="s">
        <v>571</v>
      </c>
      <c r="B59" s="10" t="s">
        <v>887</v>
      </c>
    </row>
    <row r="60" spans="1:2" x14ac:dyDescent="0.3">
      <c r="A60" t="s">
        <v>575</v>
      </c>
      <c r="B60" s="10" t="s">
        <v>888</v>
      </c>
    </row>
    <row r="61" spans="1:2" x14ac:dyDescent="0.3">
      <c r="A61" t="s">
        <v>579</v>
      </c>
      <c r="B61" s="10" t="s">
        <v>889</v>
      </c>
    </row>
    <row r="62" spans="1:2" x14ac:dyDescent="0.3">
      <c r="A62" t="s">
        <v>583</v>
      </c>
      <c r="B62" s="10" t="s">
        <v>890</v>
      </c>
    </row>
    <row r="63" spans="1:2" x14ac:dyDescent="0.3">
      <c r="A63" t="s">
        <v>587</v>
      </c>
      <c r="B63" s="10" t="s">
        <v>891</v>
      </c>
    </row>
    <row r="64" spans="1:2" x14ac:dyDescent="0.3">
      <c r="A64" t="s">
        <v>591</v>
      </c>
      <c r="B64" s="10" t="s">
        <v>892</v>
      </c>
    </row>
    <row r="65" spans="1:2" x14ac:dyDescent="0.3">
      <c r="A65" t="s">
        <v>623</v>
      </c>
      <c r="B65" s="10" t="s">
        <v>893</v>
      </c>
    </row>
    <row r="66" spans="1:2" x14ac:dyDescent="0.3">
      <c r="A66" t="s">
        <v>625</v>
      </c>
      <c r="B66" s="10" t="s">
        <v>894</v>
      </c>
    </row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0.39997558519241921"/>
  </sheetPr>
  <dimension ref="A1:B194"/>
  <sheetViews>
    <sheetView workbookViewId="0">
      <pane ySplit="1" topLeftCell="A2" activePane="bottomLeft" state="frozen"/>
      <selection activeCell="P39" sqref="P39"/>
      <selection pane="bottomLeft" activeCell="B2" sqref="B2"/>
    </sheetView>
  </sheetViews>
  <sheetFormatPr defaultRowHeight="14.4" x14ac:dyDescent="0.3"/>
  <cols>
    <col min="1" max="1" width="21.109375" customWidth="1"/>
    <col min="2" max="2" width="21.109375" style="5" customWidth="1"/>
  </cols>
  <sheetData>
    <row r="1" spans="1:2" x14ac:dyDescent="0.3">
      <c r="A1" s="1" t="s">
        <v>103</v>
      </c>
      <c r="B1" s="6" t="s">
        <v>60</v>
      </c>
    </row>
    <row r="2" spans="1:2" x14ac:dyDescent="0.3">
      <c r="A2" t="s">
        <v>323</v>
      </c>
      <c r="B2" s="10" t="s">
        <v>644</v>
      </c>
    </row>
    <row r="3" spans="1:2" x14ac:dyDescent="0.3">
      <c r="A3" t="s">
        <v>328</v>
      </c>
      <c r="B3" s="10" t="s">
        <v>645</v>
      </c>
    </row>
    <row r="4" spans="1:2" x14ac:dyDescent="0.3">
      <c r="A4" t="s">
        <v>329</v>
      </c>
      <c r="B4" s="10" t="s">
        <v>646</v>
      </c>
    </row>
    <row r="5" spans="1:2" x14ac:dyDescent="0.3">
      <c r="A5" t="s">
        <v>330</v>
      </c>
      <c r="B5" s="10" t="s">
        <v>647</v>
      </c>
    </row>
    <row r="6" spans="1:2" x14ac:dyDescent="0.3">
      <c r="A6" t="s">
        <v>331</v>
      </c>
      <c r="B6" s="10" t="s">
        <v>648</v>
      </c>
    </row>
    <row r="7" spans="1:2" x14ac:dyDescent="0.3">
      <c r="A7" t="s">
        <v>332</v>
      </c>
      <c r="B7" s="10" t="s">
        <v>649</v>
      </c>
    </row>
    <row r="8" spans="1:2" x14ac:dyDescent="0.3">
      <c r="A8" t="s">
        <v>338</v>
      </c>
      <c r="B8" s="10" t="s">
        <v>650</v>
      </c>
    </row>
    <row r="9" spans="1:2" x14ac:dyDescent="0.3">
      <c r="A9" t="s">
        <v>269</v>
      </c>
      <c r="B9" s="10" t="s">
        <v>651</v>
      </c>
    </row>
    <row r="10" spans="1:2" x14ac:dyDescent="0.3">
      <c r="A10" t="s">
        <v>343</v>
      </c>
      <c r="B10" s="10" t="s">
        <v>652</v>
      </c>
    </row>
    <row r="11" spans="1:2" x14ac:dyDescent="0.3">
      <c r="A11" t="s">
        <v>345</v>
      </c>
      <c r="B11" s="10" t="s">
        <v>653</v>
      </c>
    </row>
    <row r="12" spans="1:2" x14ac:dyDescent="0.3">
      <c r="A12" t="s">
        <v>346</v>
      </c>
      <c r="B12" s="10" t="s">
        <v>654</v>
      </c>
    </row>
    <row r="13" spans="1:2" x14ac:dyDescent="0.3">
      <c r="A13" t="s">
        <v>349</v>
      </c>
      <c r="B13" s="10" t="s">
        <v>655</v>
      </c>
    </row>
    <row r="14" spans="1:2" x14ac:dyDescent="0.3">
      <c r="A14" t="s">
        <v>350</v>
      </c>
      <c r="B14" s="10" t="s">
        <v>656</v>
      </c>
    </row>
    <row r="15" spans="1:2" x14ac:dyDescent="0.3">
      <c r="A15" t="s">
        <v>353</v>
      </c>
      <c r="B15" s="10" t="s">
        <v>657</v>
      </c>
    </row>
    <row r="16" spans="1:2" x14ac:dyDescent="0.3">
      <c r="A16" t="s">
        <v>354</v>
      </c>
      <c r="B16" s="10" t="s">
        <v>658</v>
      </c>
    </row>
    <row r="17" spans="1:2" x14ac:dyDescent="0.3">
      <c r="A17" t="s">
        <v>355</v>
      </c>
      <c r="B17" s="10" t="s">
        <v>659</v>
      </c>
    </row>
    <row r="18" spans="1:2" x14ac:dyDescent="0.3">
      <c r="A18" t="s">
        <v>357</v>
      </c>
      <c r="B18" s="10" t="s">
        <v>660</v>
      </c>
    </row>
    <row r="19" spans="1:2" x14ac:dyDescent="0.3">
      <c r="A19" t="s">
        <v>360</v>
      </c>
      <c r="B19" s="10" t="s">
        <v>661</v>
      </c>
    </row>
    <row r="20" spans="1:2" x14ac:dyDescent="0.3">
      <c r="A20" t="s">
        <v>361</v>
      </c>
      <c r="B20" s="10" t="s">
        <v>662</v>
      </c>
    </row>
    <row r="21" spans="1:2" x14ac:dyDescent="0.3">
      <c r="A21" t="s">
        <v>362</v>
      </c>
      <c r="B21" s="10" t="s">
        <v>663</v>
      </c>
    </row>
    <row r="22" spans="1:2" x14ac:dyDescent="0.3">
      <c r="A22" t="s">
        <v>364</v>
      </c>
      <c r="B22" s="10" t="s">
        <v>664</v>
      </c>
    </row>
    <row r="23" spans="1:2" x14ac:dyDescent="0.3">
      <c r="A23" t="s">
        <v>366</v>
      </c>
      <c r="B23" s="10" t="s">
        <v>665</v>
      </c>
    </row>
    <row r="24" spans="1:2" x14ac:dyDescent="0.3">
      <c r="A24" t="s">
        <v>368</v>
      </c>
      <c r="B24" s="10" t="s">
        <v>666</v>
      </c>
    </row>
    <row r="25" spans="1:2" x14ac:dyDescent="0.3">
      <c r="A25" t="s">
        <v>370</v>
      </c>
      <c r="B25" s="10" t="s">
        <v>667</v>
      </c>
    </row>
    <row r="26" spans="1:2" x14ac:dyDescent="0.3">
      <c r="A26" t="s">
        <v>373</v>
      </c>
      <c r="B26" s="10" t="s">
        <v>668</v>
      </c>
    </row>
    <row r="27" spans="1:2" x14ac:dyDescent="0.3">
      <c r="A27" t="s">
        <v>374</v>
      </c>
      <c r="B27" s="10" t="s">
        <v>669</v>
      </c>
    </row>
    <row r="28" spans="1:2" x14ac:dyDescent="0.3">
      <c r="A28" t="s">
        <v>375</v>
      </c>
      <c r="B28" s="10" t="s">
        <v>670</v>
      </c>
    </row>
    <row r="29" spans="1:2" x14ac:dyDescent="0.3">
      <c r="A29" t="s">
        <v>376</v>
      </c>
      <c r="B29" s="10" t="s">
        <v>671</v>
      </c>
    </row>
    <row r="30" spans="1:2" x14ac:dyDescent="0.3">
      <c r="A30" t="s">
        <v>377</v>
      </c>
      <c r="B30" s="10" t="s">
        <v>672</v>
      </c>
    </row>
    <row r="31" spans="1:2" x14ac:dyDescent="0.3">
      <c r="A31" t="s">
        <v>378</v>
      </c>
      <c r="B31" s="10" t="s">
        <v>673</v>
      </c>
    </row>
    <row r="32" spans="1:2" x14ac:dyDescent="0.3">
      <c r="A32" t="s">
        <v>379</v>
      </c>
      <c r="B32" s="10" t="s">
        <v>674</v>
      </c>
    </row>
    <row r="33" spans="1:2" x14ac:dyDescent="0.3">
      <c r="A33" t="s">
        <v>381</v>
      </c>
      <c r="B33" s="10" t="s">
        <v>675</v>
      </c>
    </row>
    <row r="34" spans="1:2" x14ac:dyDescent="0.3">
      <c r="A34" t="s">
        <v>382</v>
      </c>
      <c r="B34" s="10" t="s">
        <v>676</v>
      </c>
    </row>
    <row r="35" spans="1:2" x14ac:dyDescent="0.3">
      <c r="A35" t="s">
        <v>383</v>
      </c>
      <c r="B35" s="10" t="s">
        <v>677</v>
      </c>
    </row>
    <row r="36" spans="1:2" x14ac:dyDescent="0.3">
      <c r="A36" t="s">
        <v>384</v>
      </c>
      <c r="B36" s="10" t="s">
        <v>678</v>
      </c>
    </row>
    <row r="37" spans="1:2" x14ac:dyDescent="0.3">
      <c r="A37" t="s">
        <v>385</v>
      </c>
      <c r="B37" s="10" t="s">
        <v>679</v>
      </c>
    </row>
    <row r="38" spans="1:2" x14ac:dyDescent="0.3">
      <c r="A38" t="s">
        <v>386</v>
      </c>
      <c r="B38" s="10" t="s">
        <v>680</v>
      </c>
    </row>
    <row r="39" spans="1:2" x14ac:dyDescent="0.3">
      <c r="A39" t="s">
        <v>387</v>
      </c>
      <c r="B39" s="10" t="s">
        <v>681</v>
      </c>
    </row>
    <row r="40" spans="1:2" x14ac:dyDescent="0.3">
      <c r="A40" t="s">
        <v>388</v>
      </c>
      <c r="B40" s="10" t="s">
        <v>682</v>
      </c>
    </row>
    <row r="41" spans="1:2" x14ac:dyDescent="0.3">
      <c r="A41" t="s">
        <v>391</v>
      </c>
      <c r="B41" s="10" t="s">
        <v>683</v>
      </c>
    </row>
    <row r="42" spans="1:2" x14ac:dyDescent="0.3">
      <c r="A42" t="s">
        <v>392</v>
      </c>
      <c r="B42" s="10" t="s">
        <v>684</v>
      </c>
    </row>
    <row r="43" spans="1:2" x14ac:dyDescent="0.3">
      <c r="A43" t="s">
        <v>393</v>
      </c>
      <c r="B43" s="10" t="s">
        <v>685</v>
      </c>
    </row>
    <row r="44" spans="1:2" x14ac:dyDescent="0.3">
      <c r="A44" t="s">
        <v>394</v>
      </c>
      <c r="B44" s="10" t="s">
        <v>686</v>
      </c>
    </row>
    <row r="45" spans="1:2" x14ac:dyDescent="0.3">
      <c r="A45" t="s">
        <v>395</v>
      </c>
      <c r="B45" s="10" t="s">
        <v>687</v>
      </c>
    </row>
    <row r="46" spans="1:2" x14ac:dyDescent="0.3">
      <c r="A46" t="s">
        <v>396</v>
      </c>
      <c r="B46" s="10" t="s">
        <v>688</v>
      </c>
    </row>
    <row r="47" spans="1:2" x14ac:dyDescent="0.3">
      <c r="A47" t="s">
        <v>397</v>
      </c>
      <c r="B47" s="10" t="s">
        <v>689</v>
      </c>
    </row>
    <row r="48" spans="1:2" x14ac:dyDescent="0.3">
      <c r="A48" t="s">
        <v>399</v>
      </c>
      <c r="B48" s="10" t="s">
        <v>690</v>
      </c>
    </row>
    <row r="49" spans="1:2" x14ac:dyDescent="0.3">
      <c r="A49" t="s">
        <v>400</v>
      </c>
      <c r="B49" s="10" t="s">
        <v>691</v>
      </c>
    </row>
    <row r="50" spans="1:2" x14ac:dyDescent="0.3">
      <c r="A50" t="s">
        <v>401</v>
      </c>
      <c r="B50" s="10" t="s">
        <v>692</v>
      </c>
    </row>
    <row r="51" spans="1:2" x14ac:dyDescent="0.3">
      <c r="A51" t="s">
        <v>402</v>
      </c>
      <c r="B51" s="10" t="s">
        <v>693</v>
      </c>
    </row>
    <row r="52" spans="1:2" x14ac:dyDescent="0.3">
      <c r="A52" t="s">
        <v>403</v>
      </c>
      <c r="B52" s="10" t="s">
        <v>694</v>
      </c>
    </row>
    <row r="53" spans="1:2" x14ac:dyDescent="0.3">
      <c r="A53" t="s">
        <v>404</v>
      </c>
      <c r="B53" s="10" t="s">
        <v>695</v>
      </c>
    </row>
    <row r="54" spans="1:2" x14ac:dyDescent="0.3">
      <c r="A54" t="s">
        <v>405</v>
      </c>
      <c r="B54" s="10" t="s">
        <v>696</v>
      </c>
    </row>
    <row r="55" spans="1:2" x14ac:dyDescent="0.3">
      <c r="A55" t="s">
        <v>406</v>
      </c>
      <c r="B55" s="10" t="s">
        <v>697</v>
      </c>
    </row>
    <row r="56" spans="1:2" x14ac:dyDescent="0.3">
      <c r="A56" t="s">
        <v>409</v>
      </c>
      <c r="B56" s="10" t="s">
        <v>698</v>
      </c>
    </row>
    <row r="57" spans="1:2" x14ac:dyDescent="0.3">
      <c r="A57" t="s">
        <v>410</v>
      </c>
      <c r="B57" s="10" t="s">
        <v>699</v>
      </c>
    </row>
    <row r="58" spans="1:2" x14ac:dyDescent="0.3">
      <c r="A58" t="s">
        <v>411</v>
      </c>
      <c r="B58" s="10" t="s">
        <v>700</v>
      </c>
    </row>
    <row r="59" spans="1:2" x14ac:dyDescent="0.3">
      <c r="A59" t="s">
        <v>412</v>
      </c>
      <c r="B59" s="10" t="s">
        <v>701</v>
      </c>
    </row>
    <row r="60" spans="1:2" x14ac:dyDescent="0.3">
      <c r="A60" t="s">
        <v>413</v>
      </c>
      <c r="B60" s="10" t="s">
        <v>702</v>
      </c>
    </row>
    <row r="61" spans="1:2" x14ac:dyDescent="0.3">
      <c r="A61" t="s">
        <v>414</v>
      </c>
      <c r="B61" s="10" t="s">
        <v>703</v>
      </c>
    </row>
    <row r="62" spans="1:2" x14ac:dyDescent="0.3">
      <c r="A62" t="s">
        <v>415</v>
      </c>
      <c r="B62" s="10" t="s">
        <v>704</v>
      </c>
    </row>
    <row r="63" spans="1:2" x14ac:dyDescent="0.3">
      <c r="A63" t="s">
        <v>417</v>
      </c>
      <c r="B63" s="10" t="s">
        <v>705</v>
      </c>
    </row>
    <row r="64" spans="1:2" x14ac:dyDescent="0.3">
      <c r="A64" t="s">
        <v>418</v>
      </c>
      <c r="B64" s="10" t="s">
        <v>706</v>
      </c>
    </row>
    <row r="65" spans="1:2" x14ac:dyDescent="0.3">
      <c r="A65" t="s">
        <v>419</v>
      </c>
      <c r="B65" s="10" t="s">
        <v>707</v>
      </c>
    </row>
    <row r="66" spans="1:2" x14ac:dyDescent="0.3">
      <c r="A66" t="s">
        <v>420</v>
      </c>
      <c r="B66" s="10" t="s">
        <v>708</v>
      </c>
    </row>
    <row r="67" spans="1:2" x14ac:dyDescent="0.3">
      <c r="A67" t="s">
        <v>421</v>
      </c>
      <c r="B67" s="10" t="s">
        <v>709</v>
      </c>
    </row>
    <row r="68" spans="1:2" x14ac:dyDescent="0.3">
      <c r="A68" t="s">
        <v>422</v>
      </c>
      <c r="B68" s="10" t="s">
        <v>710</v>
      </c>
    </row>
    <row r="69" spans="1:2" x14ac:dyDescent="0.3">
      <c r="A69" t="s">
        <v>423</v>
      </c>
      <c r="B69" s="10" t="s">
        <v>711</v>
      </c>
    </row>
    <row r="70" spans="1:2" x14ac:dyDescent="0.3">
      <c r="A70" t="s">
        <v>424</v>
      </c>
      <c r="B70" s="10" t="s">
        <v>712</v>
      </c>
    </row>
    <row r="71" spans="1:2" x14ac:dyDescent="0.3">
      <c r="A71" t="s">
        <v>427</v>
      </c>
      <c r="B71" s="10" t="s">
        <v>713</v>
      </c>
    </row>
    <row r="72" spans="1:2" x14ac:dyDescent="0.3">
      <c r="A72" t="s">
        <v>428</v>
      </c>
      <c r="B72" s="10" t="s">
        <v>714</v>
      </c>
    </row>
    <row r="73" spans="1:2" x14ac:dyDescent="0.3">
      <c r="A73" t="s">
        <v>429</v>
      </c>
      <c r="B73" s="10" t="s">
        <v>715</v>
      </c>
    </row>
    <row r="74" spans="1:2" x14ac:dyDescent="0.3">
      <c r="A74" t="s">
        <v>430</v>
      </c>
      <c r="B74" s="10" t="s">
        <v>716</v>
      </c>
    </row>
    <row r="75" spans="1:2" x14ac:dyDescent="0.3">
      <c r="A75" t="s">
        <v>431</v>
      </c>
      <c r="B75" s="10" t="s">
        <v>717</v>
      </c>
    </row>
    <row r="76" spans="1:2" x14ac:dyDescent="0.3">
      <c r="A76" t="s">
        <v>432</v>
      </c>
      <c r="B76" s="10" t="s">
        <v>718</v>
      </c>
    </row>
    <row r="77" spans="1:2" x14ac:dyDescent="0.3">
      <c r="A77" t="s">
        <v>433</v>
      </c>
      <c r="B77" s="10" t="s">
        <v>719</v>
      </c>
    </row>
    <row r="78" spans="1:2" x14ac:dyDescent="0.3">
      <c r="A78" t="s">
        <v>435</v>
      </c>
      <c r="B78" s="10" t="s">
        <v>720</v>
      </c>
    </row>
    <row r="79" spans="1:2" x14ac:dyDescent="0.3">
      <c r="A79" t="s">
        <v>436</v>
      </c>
      <c r="B79" s="10" t="s">
        <v>721</v>
      </c>
    </row>
    <row r="80" spans="1:2" x14ac:dyDescent="0.3">
      <c r="A80" t="s">
        <v>437</v>
      </c>
      <c r="B80" s="10" t="s">
        <v>722</v>
      </c>
    </row>
    <row r="81" spans="1:2" x14ac:dyDescent="0.3">
      <c r="A81" t="s">
        <v>438</v>
      </c>
      <c r="B81" s="10" t="s">
        <v>723</v>
      </c>
    </row>
    <row r="82" spans="1:2" x14ac:dyDescent="0.3">
      <c r="A82" t="s">
        <v>439</v>
      </c>
      <c r="B82" s="10" t="s">
        <v>724</v>
      </c>
    </row>
    <row r="83" spans="1:2" x14ac:dyDescent="0.3">
      <c r="A83" t="s">
        <v>440</v>
      </c>
      <c r="B83" s="10" t="s">
        <v>725</v>
      </c>
    </row>
    <row r="84" spans="1:2" x14ac:dyDescent="0.3">
      <c r="A84" t="s">
        <v>441</v>
      </c>
      <c r="B84" s="10" t="s">
        <v>726</v>
      </c>
    </row>
    <row r="85" spans="1:2" x14ac:dyDescent="0.3">
      <c r="A85" t="s">
        <v>442</v>
      </c>
      <c r="B85" s="10" t="s">
        <v>727</v>
      </c>
    </row>
    <row r="86" spans="1:2" x14ac:dyDescent="0.3">
      <c r="A86" t="s">
        <v>443</v>
      </c>
      <c r="B86" s="10" t="s">
        <v>728</v>
      </c>
    </row>
    <row r="87" spans="1:2" x14ac:dyDescent="0.3">
      <c r="A87" t="s">
        <v>448</v>
      </c>
      <c r="B87" s="10" t="s">
        <v>729</v>
      </c>
    </row>
    <row r="88" spans="1:2" x14ac:dyDescent="0.3">
      <c r="A88" t="s">
        <v>450</v>
      </c>
      <c r="B88" s="10" t="s">
        <v>730</v>
      </c>
    </row>
    <row r="89" spans="1:2" x14ac:dyDescent="0.3">
      <c r="A89" t="s">
        <v>451</v>
      </c>
      <c r="B89" s="10" t="s">
        <v>731</v>
      </c>
    </row>
    <row r="90" spans="1:2" x14ac:dyDescent="0.3">
      <c r="A90" t="s">
        <v>452</v>
      </c>
      <c r="B90" s="10" t="s">
        <v>732</v>
      </c>
    </row>
    <row r="91" spans="1:2" x14ac:dyDescent="0.3">
      <c r="A91" t="s">
        <v>454</v>
      </c>
      <c r="B91" s="10" t="s">
        <v>733</v>
      </c>
    </row>
    <row r="92" spans="1:2" x14ac:dyDescent="0.3">
      <c r="A92" t="s">
        <v>466</v>
      </c>
      <c r="B92" s="10" t="s">
        <v>734</v>
      </c>
    </row>
    <row r="93" spans="1:2" x14ac:dyDescent="0.3">
      <c r="A93" t="s">
        <v>468</v>
      </c>
      <c r="B93" s="10" t="s">
        <v>735</v>
      </c>
    </row>
    <row r="94" spans="1:2" x14ac:dyDescent="0.3">
      <c r="A94" t="s">
        <v>469</v>
      </c>
      <c r="B94" s="10" t="s">
        <v>736</v>
      </c>
    </row>
    <row r="95" spans="1:2" x14ac:dyDescent="0.3">
      <c r="A95" t="s">
        <v>471</v>
      </c>
      <c r="B95" s="10" t="s">
        <v>737</v>
      </c>
    </row>
    <row r="96" spans="1:2" x14ac:dyDescent="0.3">
      <c r="A96" t="s">
        <v>476</v>
      </c>
      <c r="B96" s="10" t="s">
        <v>738</v>
      </c>
    </row>
    <row r="97" spans="1:2" x14ac:dyDescent="0.3">
      <c r="A97" t="s">
        <v>478</v>
      </c>
      <c r="B97" s="10" t="s">
        <v>739</v>
      </c>
    </row>
    <row r="98" spans="1:2" x14ac:dyDescent="0.3">
      <c r="A98" t="s">
        <v>483</v>
      </c>
      <c r="B98" s="10" t="s">
        <v>740</v>
      </c>
    </row>
    <row r="99" spans="1:2" x14ac:dyDescent="0.3">
      <c r="A99" t="s">
        <v>484</v>
      </c>
      <c r="B99" s="10" t="s">
        <v>741</v>
      </c>
    </row>
    <row r="100" spans="1:2" x14ac:dyDescent="0.3">
      <c r="A100" t="s">
        <v>485</v>
      </c>
      <c r="B100" s="10" t="s">
        <v>742</v>
      </c>
    </row>
    <row r="101" spans="1:2" x14ac:dyDescent="0.3">
      <c r="A101" t="s">
        <v>487</v>
      </c>
      <c r="B101" s="10" t="s">
        <v>743</v>
      </c>
    </row>
    <row r="102" spans="1:2" x14ac:dyDescent="0.3">
      <c r="A102" t="s">
        <v>489</v>
      </c>
      <c r="B102" s="10" t="s">
        <v>744</v>
      </c>
    </row>
    <row r="103" spans="1:2" x14ac:dyDescent="0.3">
      <c r="A103" t="s">
        <v>490</v>
      </c>
      <c r="B103" s="10" t="s">
        <v>745</v>
      </c>
    </row>
    <row r="104" spans="1:2" x14ac:dyDescent="0.3">
      <c r="A104" t="s">
        <v>491</v>
      </c>
      <c r="B104" s="10" t="s">
        <v>746</v>
      </c>
    </row>
    <row r="105" spans="1:2" x14ac:dyDescent="0.3">
      <c r="A105" t="s">
        <v>492</v>
      </c>
      <c r="B105" s="10" t="s">
        <v>747</v>
      </c>
    </row>
    <row r="106" spans="1:2" x14ac:dyDescent="0.3">
      <c r="A106" t="s">
        <v>493</v>
      </c>
      <c r="B106" s="10" t="s">
        <v>748</v>
      </c>
    </row>
    <row r="107" spans="1:2" x14ac:dyDescent="0.3">
      <c r="A107" t="s">
        <v>494</v>
      </c>
      <c r="B107" s="10" t="s">
        <v>749</v>
      </c>
    </row>
    <row r="108" spans="1:2" x14ac:dyDescent="0.3">
      <c r="A108" t="s">
        <v>495</v>
      </c>
      <c r="B108" s="10" t="s">
        <v>750</v>
      </c>
    </row>
    <row r="109" spans="1:2" x14ac:dyDescent="0.3">
      <c r="A109" t="s">
        <v>496</v>
      </c>
      <c r="B109" s="10" t="s">
        <v>751</v>
      </c>
    </row>
    <row r="110" spans="1:2" x14ac:dyDescent="0.3">
      <c r="A110" t="s">
        <v>497</v>
      </c>
      <c r="B110" s="10" t="s">
        <v>752</v>
      </c>
    </row>
    <row r="111" spans="1:2" x14ac:dyDescent="0.3">
      <c r="A111" t="s">
        <v>498</v>
      </c>
      <c r="B111" s="10" t="s">
        <v>753</v>
      </c>
    </row>
    <row r="112" spans="1:2" x14ac:dyDescent="0.3">
      <c r="A112" t="s">
        <v>499</v>
      </c>
      <c r="B112" s="10" t="s">
        <v>754</v>
      </c>
    </row>
    <row r="113" spans="1:2" x14ac:dyDescent="0.3">
      <c r="A113" t="s">
        <v>500</v>
      </c>
      <c r="B113" s="10" t="s">
        <v>755</v>
      </c>
    </row>
    <row r="114" spans="1:2" x14ac:dyDescent="0.3">
      <c r="A114" t="s">
        <v>501</v>
      </c>
      <c r="B114" s="10" t="s">
        <v>756</v>
      </c>
    </row>
    <row r="115" spans="1:2" x14ac:dyDescent="0.3">
      <c r="A115" t="s">
        <v>503</v>
      </c>
      <c r="B115" s="10" t="s">
        <v>757</v>
      </c>
    </row>
    <row r="116" spans="1:2" x14ac:dyDescent="0.3">
      <c r="A116" t="s">
        <v>506</v>
      </c>
      <c r="B116" s="10" t="s">
        <v>758</v>
      </c>
    </row>
    <row r="117" spans="1:2" x14ac:dyDescent="0.3">
      <c r="A117" t="s">
        <v>507</v>
      </c>
      <c r="B117" s="10" t="s">
        <v>759</v>
      </c>
    </row>
    <row r="118" spans="1:2" x14ac:dyDescent="0.3">
      <c r="A118" t="s">
        <v>508</v>
      </c>
      <c r="B118" s="10" t="s">
        <v>760</v>
      </c>
    </row>
    <row r="119" spans="1:2" x14ac:dyDescent="0.3">
      <c r="A119" t="s">
        <v>511</v>
      </c>
      <c r="B119" s="10" t="s">
        <v>761</v>
      </c>
    </row>
    <row r="120" spans="1:2" x14ac:dyDescent="0.3">
      <c r="A120" t="s">
        <v>512</v>
      </c>
      <c r="B120" s="10" t="s">
        <v>762</v>
      </c>
    </row>
    <row r="121" spans="1:2" x14ac:dyDescent="0.3">
      <c r="A121" t="s">
        <v>513</v>
      </c>
      <c r="B121" s="10" t="s">
        <v>763</v>
      </c>
    </row>
    <row r="122" spans="1:2" x14ac:dyDescent="0.3">
      <c r="A122" t="s">
        <v>516</v>
      </c>
      <c r="B122" s="10" t="s">
        <v>764</v>
      </c>
    </row>
    <row r="123" spans="1:2" x14ac:dyDescent="0.3">
      <c r="A123" t="s">
        <v>517</v>
      </c>
      <c r="B123" s="10" t="s">
        <v>765</v>
      </c>
    </row>
    <row r="124" spans="1:2" x14ac:dyDescent="0.3">
      <c r="A124" t="s">
        <v>518</v>
      </c>
      <c r="B124" s="10" t="s">
        <v>766</v>
      </c>
    </row>
    <row r="125" spans="1:2" x14ac:dyDescent="0.3">
      <c r="A125" t="s">
        <v>521</v>
      </c>
      <c r="B125" s="10" t="s">
        <v>767</v>
      </c>
    </row>
    <row r="126" spans="1:2" x14ac:dyDescent="0.3">
      <c r="A126" t="s">
        <v>522</v>
      </c>
      <c r="B126" s="10" t="s">
        <v>768</v>
      </c>
    </row>
    <row r="127" spans="1:2" x14ac:dyDescent="0.3">
      <c r="A127" t="s">
        <v>523</v>
      </c>
      <c r="B127" s="10" t="s">
        <v>769</v>
      </c>
    </row>
    <row r="128" spans="1:2" x14ac:dyDescent="0.3">
      <c r="A128" t="s">
        <v>526</v>
      </c>
      <c r="B128" s="10" t="s">
        <v>770</v>
      </c>
    </row>
    <row r="129" spans="1:2" x14ac:dyDescent="0.3">
      <c r="A129" t="s">
        <v>527</v>
      </c>
      <c r="B129" s="10" t="s">
        <v>771</v>
      </c>
    </row>
    <row r="130" spans="1:2" x14ac:dyDescent="0.3">
      <c r="A130" t="s">
        <v>528</v>
      </c>
      <c r="B130" s="10" t="s">
        <v>772</v>
      </c>
    </row>
    <row r="131" spans="1:2" x14ac:dyDescent="0.3">
      <c r="A131" t="s">
        <v>531</v>
      </c>
      <c r="B131" s="10" t="s">
        <v>773</v>
      </c>
    </row>
    <row r="132" spans="1:2" x14ac:dyDescent="0.3">
      <c r="A132" t="s">
        <v>532</v>
      </c>
      <c r="B132" s="10" t="s">
        <v>774</v>
      </c>
    </row>
    <row r="133" spans="1:2" x14ac:dyDescent="0.3">
      <c r="A133" t="s">
        <v>534</v>
      </c>
      <c r="B133" s="10" t="s">
        <v>775</v>
      </c>
    </row>
    <row r="134" spans="1:2" x14ac:dyDescent="0.3">
      <c r="A134" t="s">
        <v>537</v>
      </c>
      <c r="B134" s="10" t="s">
        <v>776</v>
      </c>
    </row>
    <row r="135" spans="1:2" x14ac:dyDescent="0.3">
      <c r="A135" t="s">
        <v>538</v>
      </c>
      <c r="B135" s="10" t="s">
        <v>777</v>
      </c>
    </row>
    <row r="136" spans="1:2" x14ac:dyDescent="0.3">
      <c r="A136" t="s">
        <v>539</v>
      </c>
      <c r="B136" s="10" t="s">
        <v>778</v>
      </c>
    </row>
    <row r="137" spans="1:2" x14ac:dyDescent="0.3">
      <c r="A137" t="s">
        <v>542</v>
      </c>
      <c r="B137" s="10" t="s">
        <v>779</v>
      </c>
    </row>
    <row r="138" spans="1:2" x14ac:dyDescent="0.3">
      <c r="A138" t="s">
        <v>543</v>
      </c>
      <c r="B138" s="10" t="s">
        <v>780</v>
      </c>
    </row>
    <row r="139" spans="1:2" x14ac:dyDescent="0.3">
      <c r="A139" t="s">
        <v>544</v>
      </c>
      <c r="B139" s="10" t="s">
        <v>781</v>
      </c>
    </row>
    <row r="140" spans="1:2" x14ac:dyDescent="0.3">
      <c r="A140" t="s">
        <v>547</v>
      </c>
      <c r="B140" s="10" t="s">
        <v>782</v>
      </c>
    </row>
    <row r="141" spans="1:2" x14ac:dyDescent="0.3">
      <c r="A141" t="s">
        <v>548</v>
      </c>
      <c r="B141" s="10" t="s">
        <v>783</v>
      </c>
    </row>
    <row r="142" spans="1:2" x14ac:dyDescent="0.3">
      <c r="A142" t="s">
        <v>549</v>
      </c>
      <c r="B142" s="10" t="s">
        <v>784</v>
      </c>
    </row>
    <row r="143" spans="1:2" x14ac:dyDescent="0.3">
      <c r="A143" t="s">
        <v>552</v>
      </c>
      <c r="B143" s="10" t="s">
        <v>785</v>
      </c>
    </row>
    <row r="144" spans="1:2" x14ac:dyDescent="0.3">
      <c r="A144" t="s">
        <v>553</v>
      </c>
      <c r="B144" s="10" t="s">
        <v>786</v>
      </c>
    </row>
    <row r="145" spans="1:2" x14ac:dyDescent="0.3">
      <c r="A145" t="s">
        <v>554</v>
      </c>
      <c r="B145" s="10" t="s">
        <v>787</v>
      </c>
    </row>
    <row r="146" spans="1:2" x14ac:dyDescent="0.3">
      <c r="A146" t="s">
        <v>557</v>
      </c>
      <c r="B146" s="10" t="s">
        <v>788</v>
      </c>
    </row>
    <row r="147" spans="1:2" x14ac:dyDescent="0.3">
      <c r="A147" t="s">
        <v>558</v>
      </c>
      <c r="B147" s="10" t="s">
        <v>789</v>
      </c>
    </row>
    <row r="148" spans="1:2" x14ac:dyDescent="0.3">
      <c r="A148" t="s">
        <v>561</v>
      </c>
      <c r="B148" s="10" t="s">
        <v>790</v>
      </c>
    </row>
    <row r="149" spans="1:2" x14ac:dyDescent="0.3">
      <c r="A149" t="s">
        <v>562</v>
      </c>
      <c r="B149" s="10" t="s">
        <v>791</v>
      </c>
    </row>
    <row r="150" spans="1:2" x14ac:dyDescent="0.3">
      <c r="A150" t="s">
        <v>565</v>
      </c>
      <c r="B150" s="10" t="s">
        <v>792</v>
      </c>
    </row>
    <row r="151" spans="1:2" x14ac:dyDescent="0.3">
      <c r="A151" t="s">
        <v>566</v>
      </c>
      <c r="B151" s="10" t="s">
        <v>793</v>
      </c>
    </row>
    <row r="152" spans="1:2" x14ac:dyDescent="0.3">
      <c r="A152" t="s">
        <v>569</v>
      </c>
      <c r="B152" s="10" t="s">
        <v>794</v>
      </c>
    </row>
    <row r="153" spans="1:2" x14ac:dyDescent="0.3">
      <c r="A153" t="s">
        <v>570</v>
      </c>
      <c r="B153" s="10" t="s">
        <v>795</v>
      </c>
    </row>
    <row r="154" spans="1:2" x14ac:dyDescent="0.3">
      <c r="A154" t="s">
        <v>573</v>
      </c>
      <c r="B154" s="10" t="s">
        <v>796</v>
      </c>
    </row>
    <row r="155" spans="1:2" x14ac:dyDescent="0.3">
      <c r="A155" t="s">
        <v>574</v>
      </c>
      <c r="B155" s="10" t="s">
        <v>797</v>
      </c>
    </row>
    <row r="156" spans="1:2" x14ac:dyDescent="0.3">
      <c r="A156" t="s">
        <v>577</v>
      </c>
      <c r="B156" s="10" t="s">
        <v>798</v>
      </c>
    </row>
    <row r="157" spans="1:2" x14ac:dyDescent="0.3">
      <c r="A157" t="s">
        <v>578</v>
      </c>
      <c r="B157" s="10" t="s">
        <v>799</v>
      </c>
    </row>
    <row r="158" spans="1:2" x14ac:dyDescent="0.3">
      <c r="A158" t="s">
        <v>581</v>
      </c>
      <c r="B158" s="10" t="s">
        <v>800</v>
      </c>
    </row>
    <row r="159" spans="1:2" x14ac:dyDescent="0.3">
      <c r="A159" t="s">
        <v>582</v>
      </c>
      <c r="B159" s="10" t="s">
        <v>801</v>
      </c>
    </row>
    <row r="160" spans="1:2" x14ac:dyDescent="0.3">
      <c r="A160" t="s">
        <v>585</v>
      </c>
      <c r="B160" s="10" t="s">
        <v>802</v>
      </c>
    </row>
    <row r="161" spans="1:2" x14ac:dyDescent="0.3">
      <c r="A161" t="s">
        <v>586</v>
      </c>
      <c r="B161" s="10" t="s">
        <v>803</v>
      </c>
    </row>
    <row r="162" spans="1:2" x14ac:dyDescent="0.3">
      <c r="A162" t="s">
        <v>589</v>
      </c>
      <c r="B162" s="10" t="s">
        <v>804</v>
      </c>
    </row>
    <row r="163" spans="1:2" x14ac:dyDescent="0.3">
      <c r="A163" t="s">
        <v>590</v>
      </c>
      <c r="B163" s="10" t="s">
        <v>805</v>
      </c>
    </row>
    <row r="164" spans="1:2" x14ac:dyDescent="0.3">
      <c r="A164" t="s">
        <v>593</v>
      </c>
      <c r="B164" s="10" t="s">
        <v>806</v>
      </c>
    </row>
    <row r="165" spans="1:2" x14ac:dyDescent="0.3">
      <c r="A165" t="s">
        <v>594</v>
      </c>
      <c r="B165" s="10" t="s">
        <v>807</v>
      </c>
    </row>
    <row r="166" spans="1:2" x14ac:dyDescent="0.3">
      <c r="A166" t="s">
        <v>595</v>
      </c>
      <c r="B166" s="10" t="s">
        <v>808</v>
      </c>
    </row>
    <row r="167" spans="1:2" x14ac:dyDescent="0.3">
      <c r="A167" t="s">
        <v>596</v>
      </c>
      <c r="B167" s="10" t="s">
        <v>809</v>
      </c>
    </row>
    <row r="168" spans="1:2" x14ac:dyDescent="0.3">
      <c r="A168" t="s">
        <v>597</v>
      </c>
      <c r="B168" s="10" t="s">
        <v>810</v>
      </c>
    </row>
    <row r="169" spans="1:2" x14ac:dyDescent="0.3">
      <c r="A169" t="s">
        <v>598</v>
      </c>
      <c r="B169" s="10" t="s">
        <v>811</v>
      </c>
    </row>
    <row r="170" spans="1:2" x14ac:dyDescent="0.3">
      <c r="A170" t="s">
        <v>599</v>
      </c>
      <c r="B170" s="10" t="s">
        <v>812</v>
      </c>
    </row>
    <row r="171" spans="1:2" x14ac:dyDescent="0.3">
      <c r="A171" t="s">
        <v>601</v>
      </c>
      <c r="B171" s="10" t="s">
        <v>813</v>
      </c>
    </row>
    <row r="172" spans="1:2" x14ac:dyDescent="0.3">
      <c r="A172" t="s">
        <v>603</v>
      </c>
      <c r="B172" s="10" t="s">
        <v>814</v>
      </c>
    </row>
    <row r="173" spans="1:2" x14ac:dyDescent="0.3">
      <c r="A173" t="s">
        <v>604</v>
      </c>
      <c r="B173" s="10" t="s">
        <v>815</v>
      </c>
    </row>
    <row r="174" spans="1:2" x14ac:dyDescent="0.3">
      <c r="A174" t="s">
        <v>605</v>
      </c>
      <c r="B174" s="10" t="s">
        <v>816</v>
      </c>
    </row>
    <row r="175" spans="1:2" x14ac:dyDescent="0.3">
      <c r="A175" t="s">
        <v>608</v>
      </c>
      <c r="B175" s="10" t="s">
        <v>817</v>
      </c>
    </row>
    <row r="176" spans="1:2" x14ac:dyDescent="0.3">
      <c r="A176" t="s">
        <v>609</v>
      </c>
      <c r="B176" s="10" t="s">
        <v>818</v>
      </c>
    </row>
    <row r="177" spans="1:2" x14ac:dyDescent="0.3">
      <c r="A177" t="s">
        <v>610</v>
      </c>
      <c r="B177" s="10" t="s">
        <v>819</v>
      </c>
    </row>
    <row r="178" spans="1:2" x14ac:dyDescent="0.3">
      <c r="A178" t="s">
        <v>611</v>
      </c>
      <c r="B178" s="10" t="s">
        <v>820</v>
      </c>
    </row>
    <row r="179" spans="1:2" x14ac:dyDescent="0.3">
      <c r="A179" t="s">
        <v>617</v>
      </c>
      <c r="B179" s="10" t="s">
        <v>821</v>
      </c>
    </row>
    <row r="180" spans="1:2" x14ac:dyDescent="0.3">
      <c r="A180" t="s">
        <v>619</v>
      </c>
      <c r="B180" s="10" t="s">
        <v>822</v>
      </c>
    </row>
    <row r="181" spans="1:2" x14ac:dyDescent="0.3">
      <c r="A181" t="s">
        <v>621</v>
      </c>
      <c r="B181" s="10" t="s">
        <v>823</v>
      </c>
    </row>
    <row r="182" spans="1:2" x14ac:dyDescent="0.3">
      <c r="A182" t="s">
        <v>1</v>
      </c>
      <c r="B182" s="10" t="s">
        <v>824</v>
      </c>
    </row>
    <row r="183" spans="1:2" x14ac:dyDescent="0.3">
      <c r="A183" t="s">
        <v>627</v>
      </c>
      <c r="B183" s="10" t="s">
        <v>825</v>
      </c>
    </row>
    <row r="184" spans="1:2" x14ac:dyDescent="0.3">
      <c r="A184" t="s">
        <v>628</v>
      </c>
      <c r="B184" s="10" t="s">
        <v>826</v>
      </c>
    </row>
    <row r="185" spans="1:2" x14ac:dyDescent="0.3">
      <c r="A185" t="s">
        <v>629</v>
      </c>
      <c r="B185" s="10" t="s">
        <v>827</v>
      </c>
    </row>
    <row r="186" spans="1:2" x14ac:dyDescent="0.3">
      <c r="A186" t="s">
        <v>632</v>
      </c>
      <c r="B186" s="10" t="s">
        <v>828</v>
      </c>
    </row>
    <row r="187" spans="1:2" x14ac:dyDescent="0.3">
      <c r="A187" t="s">
        <v>635</v>
      </c>
      <c r="B187" s="10" t="s">
        <v>829</v>
      </c>
    </row>
    <row r="188" spans="1:2" x14ac:dyDescent="0.3">
      <c r="A188" t="s">
        <v>256</v>
      </c>
      <c r="B188" s="10" t="s">
        <v>295</v>
      </c>
    </row>
    <row r="189" spans="1:2" x14ac:dyDescent="0.3">
      <c r="A189" t="s">
        <v>637</v>
      </c>
      <c r="B189" s="10" t="s">
        <v>928</v>
      </c>
    </row>
    <row r="190" spans="1:2" x14ac:dyDescent="0.3">
      <c r="B190" s="10"/>
    </row>
    <row r="191" spans="1:2" x14ac:dyDescent="0.3">
      <c r="B191" s="10"/>
    </row>
    <row r="192" spans="1:2" x14ac:dyDescent="0.3">
      <c r="B192" s="10"/>
    </row>
    <row r="193" spans="2:2" x14ac:dyDescent="0.3">
      <c r="B193" s="10"/>
    </row>
    <row r="194" spans="2:2" x14ac:dyDescent="0.3">
      <c r="B194" s="10"/>
    </row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6" tint="0.39997558519241921"/>
  </sheetPr>
  <dimension ref="A1:B185"/>
  <sheetViews>
    <sheetView workbookViewId="0">
      <pane ySplit="1" topLeftCell="A3" activePane="bottomLeft" state="frozen"/>
      <selection activeCell="P39" sqref="P39"/>
      <selection pane="bottomLeft" activeCell="B2" sqref="B2:B39"/>
    </sheetView>
  </sheetViews>
  <sheetFormatPr defaultRowHeight="14.4" x14ac:dyDescent="0.3"/>
  <cols>
    <col min="1" max="1" width="21.109375" customWidth="1"/>
    <col min="2" max="2" width="67" style="5" bestFit="1" customWidth="1"/>
  </cols>
  <sheetData>
    <row r="1" spans="1:2" x14ac:dyDescent="0.3">
      <c r="A1" s="1" t="s">
        <v>103</v>
      </c>
      <c r="B1" s="6" t="s">
        <v>60</v>
      </c>
    </row>
    <row r="2" spans="1:2" x14ac:dyDescent="0.3">
      <c r="A2" t="s">
        <v>333</v>
      </c>
      <c r="B2" s="10" t="s">
        <v>895</v>
      </c>
    </row>
    <row r="3" spans="1:2" x14ac:dyDescent="0.3">
      <c r="A3" t="s">
        <v>334</v>
      </c>
      <c r="B3" s="10" t="s">
        <v>896</v>
      </c>
    </row>
    <row r="4" spans="1:2" x14ac:dyDescent="0.3">
      <c r="A4" t="s">
        <v>342</v>
      </c>
      <c r="B4" s="10" t="s">
        <v>897</v>
      </c>
    </row>
    <row r="5" spans="1:2" x14ac:dyDescent="0.3">
      <c r="A5" t="s">
        <v>348</v>
      </c>
      <c r="B5" s="10" t="s">
        <v>898</v>
      </c>
    </row>
    <row r="6" spans="1:2" x14ac:dyDescent="0.3">
      <c r="A6" t="s">
        <v>372</v>
      </c>
      <c r="B6" s="10" t="s">
        <v>899</v>
      </c>
    </row>
    <row r="7" spans="1:2" x14ac:dyDescent="0.3">
      <c r="A7" t="s">
        <v>390</v>
      </c>
      <c r="B7" s="10" t="s">
        <v>900</v>
      </c>
    </row>
    <row r="8" spans="1:2" x14ac:dyDescent="0.3">
      <c r="A8" t="s">
        <v>408</v>
      </c>
      <c r="B8" s="10" t="s">
        <v>901</v>
      </c>
    </row>
    <row r="9" spans="1:2" x14ac:dyDescent="0.3">
      <c r="A9" t="s">
        <v>426</v>
      </c>
      <c r="B9" s="10" t="s">
        <v>902</v>
      </c>
    </row>
    <row r="10" spans="1:2" x14ac:dyDescent="0.3">
      <c r="A10" t="s">
        <v>444</v>
      </c>
      <c r="B10" s="10" t="s">
        <v>903</v>
      </c>
    </row>
    <row r="11" spans="1:2" x14ac:dyDescent="0.3">
      <c r="A11" t="s">
        <v>445</v>
      </c>
      <c r="B11" s="10" t="s">
        <v>904</v>
      </c>
    </row>
    <row r="12" spans="1:2" x14ac:dyDescent="0.3">
      <c r="A12" t="s">
        <v>459</v>
      </c>
      <c r="B12" s="10" t="s">
        <v>905</v>
      </c>
    </row>
    <row r="13" spans="1:2" x14ac:dyDescent="0.3">
      <c r="A13" t="s">
        <v>461</v>
      </c>
      <c r="B13" s="10" t="s">
        <v>906</v>
      </c>
    </row>
    <row r="14" spans="1:2" x14ac:dyDescent="0.3">
      <c r="A14" t="s">
        <v>463</v>
      </c>
      <c r="B14" s="10" t="s">
        <v>907</v>
      </c>
    </row>
    <row r="15" spans="1:2" x14ac:dyDescent="0.3">
      <c r="A15" t="s">
        <v>467</v>
      </c>
      <c r="B15" s="10" t="s">
        <v>908</v>
      </c>
    </row>
    <row r="16" spans="1:2" x14ac:dyDescent="0.3">
      <c r="A16" t="s">
        <v>90</v>
      </c>
      <c r="B16" s="10" t="s">
        <v>909</v>
      </c>
    </row>
    <row r="17" spans="1:2" x14ac:dyDescent="0.3">
      <c r="A17" t="s">
        <v>187</v>
      </c>
      <c r="B17" s="10" t="s">
        <v>910</v>
      </c>
    </row>
    <row r="18" spans="1:2" x14ac:dyDescent="0.3">
      <c r="A18" t="s">
        <v>477</v>
      </c>
      <c r="B18" s="10" t="s">
        <v>911</v>
      </c>
    </row>
    <row r="19" spans="1:2" x14ac:dyDescent="0.3">
      <c r="A19" t="s">
        <v>486</v>
      </c>
      <c r="B19" s="10" t="s">
        <v>912</v>
      </c>
    </row>
    <row r="20" spans="1:2" x14ac:dyDescent="0.3">
      <c r="A20" t="s">
        <v>556</v>
      </c>
      <c r="B20" s="10" t="s">
        <v>913</v>
      </c>
    </row>
    <row r="21" spans="1:2" x14ac:dyDescent="0.3">
      <c r="A21" t="s">
        <v>560</v>
      </c>
      <c r="B21" s="10" t="s">
        <v>914</v>
      </c>
    </row>
    <row r="22" spans="1:2" x14ac:dyDescent="0.3">
      <c r="A22" t="s">
        <v>564</v>
      </c>
      <c r="B22" s="10" t="s">
        <v>915</v>
      </c>
    </row>
    <row r="23" spans="1:2" x14ac:dyDescent="0.3">
      <c r="A23" t="s">
        <v>568</v>
      </c>
      <c r="B23" s="10" t="s">
        <v>916</v>
      </c>
    </row>
    <row r="24" spans="1:2" x14ac:dyDescent="0.3">
      <c r="A24" t="s">
        <v>572</v>
      </c>
      <c r="B24" s="10" t="s">
        <v>917</v>
      </c>
    </row>
    <row r="25" spans="1:2" x14ac:dyDescent="0.3">
      <c r="A25" t="s">
        <v>576</v>
      </c>
      <c r="B25" s="10" t="s">
        <v>918</v>
      </c>
    </row>
    <row r="26" spans="1:2" x14ac:dyDescent="0.3">
      <c r="A26" t="s">
        <v>580</v>
      </c>
      <c r="B26" s="10" t="s">
        <v>919</v>
      </c>
    </row>
    <row r="27" spans="1:2" x14ac:dyDescent="0.3">
      <c r="A27" t="s">
        <v>584</v>
      </c>
      <c r="B27" s="10" t="s">
        <v>920</v>
      </c>
    </row>
    <row r="28" spans="1:2" x14ac:dyDescent="0.3">
      <c r="A28" t="s">
        <v>588</v>
      </c>
      <c r="B28" s="10" t="s">
        <v>921</v>
      </c>
    </row>
    <row r="29" spans="1:2" x14ac:dyDescent="0.3">
      <c r="A29" t="s">
        <v>592</v>
      </c>
      <c r="B29" s="10" t="s">
        <v>922</v>
      </c>
    </row>
    <row r="30" spans="1:2" x14ac:dyDescent="0.3">
      <c r="A30" t="s">
        <v>612</v>
      </c>
      <c r="B30" s="10" t="s">
        <v>923</v>
      </c>
    </row>
    <row r="31" spans="1:2" x14ac:dyDescent="0.3">
      <c r="A31" t="s">
        <v>613</v>
      </c>
      <c r="B31" s="10" t="s">
        <v>924</v>
      </c>
    </row>
    <row r="32" spans="1:2" x14ac:dyDescent="0.3">
      <c r="A32" t="s">
        <v>615</v>
      </c>
      <c r="B32" s="10" t="s">
        <v>925</v>
      </c>
    </row>
    <row r="33" spans="1:2" x14ac:dyDescent="0.3">
      <c r="A33" t="s">
        <v>616</v>
      </c>
      <c r="B33" s="10" t="s">
        <v>926</v>
      </c>
    </row>
    <row r="34" spans="1:2" x14ac:dyDescent="0.3">
      <c r="A34" t="s">
        <v>636</v>
      </c>
      <c r="B34" s="10" t="s">
        <v>927</v>
      </c>
    </row>
    <row r="35" spans="1:2" x14ac:dyDescent="0.3">
      <c r="A35" t="s">
        <v>638</v>
      </c>
      <c r="B35" s="10" t="s">
        <v>929</v>
      </c>
    </row>
    <row r="36" spans="1:2" x14ac:dyDescent="0.3">
      <c r="A36" t="s">
        <v>639</v>
      </c>
      <c r="B36" s="10" t="s">
        <v>930</v>
      </c>
    </row>
    <row r="37" spans="1:2" x14ac:dyDescent="0.3">
      <c r="A37" t="s">
        <v>640</v>
      </c>
      <c r="B37" s="10" t="s">
        <v>931</v>
      </c>
    </row>
    <row r="38" spans="1:2" x14ac:dyDescent="0.3">
      <c r="A38" t="s">
        <v>257</v>
      </c>
      <c r="B38" s="10" t="s">
        <v>932</v>
      </c>
    </row>
    <row r="39" spans="1:2" x14ac:dyDescent="0.3">
      <c r="A39" t="s">
        <v>641</v>
      </c>
      <c r="B39" s="10" t="s">
        <v>933</v>
      </c>
    </row>
    <row r="40" spans="1:2" x14ac:dyDescent="0.3">
      <c r="B40" s="10"/>
    </row>
    <row r="41" spans="1:2" x14ac:dyDescent="0.3">
      <c r="B41" s="10"/>
    </row>
    <row r="42" spans="1:2" x14ac:dyDescent="0.3">
      <c r="B42" s="10"/>
    </row>
    <row r="43" spans="1:2" x14ac:dyDescent="0.3">
      <c r="B43" s="10"/>
    </row>
    <row r="44" spans="1:2" x14ac:dyDescent="0.3">
      <c r="B44" s="10"/>
    </row>
    <row r="45" spans="1:2" x14ac:dyDescent="0.3">
      <c r="B45" s="10"/>
    </row>
    <row r="46" spans="1:2" x14ac:dyDescent="0.3">
      <c r="B46" s="10"/>
    </row>
    <row r="47" spans="1:2" x14ac:dyDescent="0.3">
      <c r="B47" s="10"/>
    </row>
    <row r="48" spans="1:2" x14ac:dyDescent="0.3">
      <c r="B48" s="10"/>
    </row>
    <row r="49" spans="2:2" x14ac:dyDescent="0.3">
      <c r="B49" s="10"/>
    </row>
    <row r="50" spans="2:2" x14ac:dyDescent="0.3">
      <c r="B50" s="10"/>
    </row>
    <row r="51" spans="2:2" x14ac:dyDescent="0.3">
      <c r="B51" s="10"/>
    </row>
    <row r="52" spans="2:2" x14ac:dyDescent="0.3">
      <c r="B52" s="10"/>
    </row>
    <row r="53" spans="2:2" x14ac:dyDescent="0.3">
      <c r="B53" s="10"/>
    </row>
    <row r="54" spans="2:2" x14ac:dyDescent="0.3">
      <c r="B54" s="10"/>
    </row>
    <row r="55" spans="2:2" x14ac:dyDescent="0.3">
      <c r="B55" s="10"/>
    </row>
    <row r="56" spans="2:2" x14ac:dyDescent="0.3">
      <c r="B56" s="10"/>
    </row>
    <row r="57" spans="2:2" x14ac:dyDescent="0.3">
      <c r="B57" s="10"/>
    </row>
    <row r="58" spans="2:2" x14ac:dyDescent="0.3">
      <c r="B58" s="10"/>
    </row>
    <row r="59" spans="2:2" x14ac:dyDescent="0.3">
      <c r="B59" s="10"/>
    </row>
    <row r="60" spans="2:2" x14ac:dyDescent="0.3">
      <c r="B60" s="10"/>
    </row>
    <row r="61" spans="2:2" x14ac:dyDescent="0.3">
      <c r="B61" s="10"/>
    </row>
    <row r="62" spans="2:2" x14ac:dyDescent="0.3">
      <c r="B62" s="10"/>
    </row>
    <row r="63" spans="2:2" x14ac:dyDescent="0.3">
      <c r="B63" s="10"/>
    </row>
    <row r="64" spans="2:2" x14ac:dyDescent="0.3">
      <c r="B64" s="10"/>
    </row>
    <row r="65" spans="2:2" x14ac:dyDescent="0.3">
      <c r="B65" s="10"/>
    </row>
    <row r="66" spans="2:2" x14ac:dyDescent="0.3">
      <c r="B66" s="10"/>
    </row>
    <row r="67" spans="2:2" x14ac:dyDescent="0.3">
      <c r="B67" s="10"/>
    </row>
    <row r="68" spans="2:2" x14ac:dyDescent="0.3">
      <c r="B68" s="10"/>
    </row>
    <row r="69" spans="2:2" x14ac:dyDescent="0.3">
      <c r="B69" s="10"/>
    </row>
    <row r="70" spans="2:2" x14ac:dyDescent="0.3">
      <c r="B70" s="10"/>
    </row>
    <row r="71" spans="2:2" x14ac:dyDescent="0.3">
      <c r="B71" s="10"/>
    </row>
    <row r="72" spans="2:2" x14ac:dyDescent="0.3">
      <c r="B72" s="10"/>
    </row>
    <row r="73" spans="2:2" x14ac:dyDescent="0.3">
      <c r="B73" s="10"/>
    </row>
    <row r="74" spans="2:2" x14ac:dyDescent="0.3">
      <c r="B74" s="10"/>
    </row>
    <row r="75" spans="2:2" x14ac:dyDescent="0.3">
      <c r="B75" s="10"/>
    </row>
    <row r="76" spans="2:2" x14ac:dyDescent="0.3">
      <c r="B76" s="10"/>
    </row>
    <row r="77" spans="2:2" x14ac:dyDescent="0.3">
      <c r="B77" s="10"/>
    </row>
    <row r="78" spans="2:2" x14ac:dyDescent="0.3">
      <c r="B78" s="10"/>
    </row>
    <row r="79" spans="2:2" x14ac:dyDescent="0.3">
      <c r="B79" s="10"/>
    </row>
    <row r="80" spans="2:2" x14ac:dyDescent="0.3">
      <c r="B80" s="10"/>
    </row>
    <row r="81" spans="2:2" x14ac:dyDescent="0.3">
      <c r="B81" s="10"/>
    </row>
    <row r="82" spans="2:2" x14ac:dyDescent="0.3">
      <c r="B82" s="10"/>
    </row>
    <row r="83" spans="2:2" x14ac:dyDescent="0.3">
      <c r="B83" s="10"/>
    </row>
    <row r="84" spans="2:2" x14ac:dyDescent="0.3">
      <c r="B84" s="10"/>
    </row>
    <row r="85" spans="2:2" x14ac:dyDescent="0.3">
      <c r="B85" s="10"/>
    </row>
    <row r="86" spans="2:2" x14ac:dyDescent="0.3">
      <c r="B86" s="10"/>
    </row>
    <row r="87" spans="2:2" x14ac:dyDescent="0.3">
      <c r="B87" s="10"/>
    </row>
    <row r="88" spans="2:2" x14ac:dyDescent="0.3">
      <c r="B88" s="10"/>
    </row>
    <row r="89" spans="2:2" x14ac:dyDescent="0.3">
      <c r="B89" s="10"/>
    </row>
    <row r="90" spans="2:2" x14ac:dyDescent="0.3">
      <c r="B90" s="10"/>
    </row>
    <row r="91" spans="2:2" x14ac:dyDescent="0.3">
      <c r="B91" s="10"/>
    </row>
    <row r="92" spans="2:2" x14ac:dyDescent="0.3">
      <c r="B92" s="10"/>
    </row>
    <row r="93" spans="2:2" x14ac:dyDescent="0.3">
      <c r="B93" s="10"/>
    </row>
    <row r="94" spans="2:2" x14ac:dyDescent="0.3">
      <c r="B94" s="10"/>
    </row>
    <row r="95" spans="2:2" x14ac:dyDescent="0.3">
      <c r="B95" s="10"/>
    </row>
    <row r="96" spans="2:2" x14ac:dyDescent="0.3">
      <c r="B96" s="10"/>
    </row>
    <row r="97" spans="2:2" x14ac:dyDescent="0.3">
      <c r="B97" s="10"/>
    </row>
    <row r="98" spans="2:2" x14ac:dyDescent="0.3">
      <c r="B98" s="10"/>
    </row>
    <row r="99" spans="2:2" x14ac:dyDescent="0.3">
      <c r="B99" s="10"/>
    </row>
    <row r="100" spans="2:2" x14ac:dyDescent="0.3">
      <c r="B100" s="10"/>
    </row>
    <row r="101" spans="2:2" x14ac:dyDescent="0.3">
      <c r="B101" s="10"/>
    </row>
    <row r="102" spans="2:2" x14ac:dyDescent="0.3">
      <c r="B102" s="10"/>
    </row>
    <row r="103" spans="2:2" x14ac:dyDescent="0.3">
      <c r="B103" s="10"/>
    </row>
    <row r="104" spans="2:2" x14ac:dyDescent="0.3">
      <c r="B104" s="10"/>
    </row>
    <row r="105" spans="2:2" x14ac:dyDescent="0.3">
      <c r="B105" s="10"/>
    </row>
    <row r="106" spans="2:2" x14ac:dyDescent="0.3">
      <c r="B106" s="10"/>
    </row>
    <row r="107" spans="2:2" x14ac:dyDescent="0.3">
      <c r="B107" s="10"/>
    </row>
    <row r="108" spans="2:2" x14ac:dyDescent="0.3">
      <c r="B108" s="10"/>
    </row>
    <row r="109" spans="2:2" x14ac:dyDescent="0.3">
      <c r="B109" s="10"/>
    </row>
    <row r="110" spans="2:2" x14ac:dyDescent="0.3">
      <c r="B110" s="10"/>
    </row>
    <row r="111" spans="2:2" x14ac:dyDescent="0.3">
      <c r="B111" s="10"/>
    </row>
    <row r="112" spans="2:2" x14ac:dyDescent="0.3">
      <c r="B112" s="10"/>
    </row>
    <row r="113" spans="2:2" x14ac:dyDescent="0.3">
      <c r="B113" s="10"/>
    </row>
    <row r="114" spans="2:2" x14ac:dyDescent="0.3">
      <c r="B114" s="10"/>
    </row>
    <row r="115" spans="2:2" x14ac:dyDescent="0.3">
      <c r="B115" s="10"/>
    </row>
    <row r="116" spans="2:2" x14ac:dyDescent="0.3">
      <c r="B116" s="10"/>
    </row>
    <row r="117" spans="2:2" x14ac:dyDescent="0.3">
      <c r="B117" s="10"/>
    </row>
    <row r="118" spans="2:2" x14ac:dyDescent="0.3">
      <c r="B118" s="10"/>
    </row>
    <row r="119" spans="2:2" x14ac:dyDescent="0.3">
      <c r="B119" s="10"/>
    </row>
    <row r="120" spans="2:2" x14ac:dyDescent="0.3">
      <c r="B120" s="10"/>
    </row>
    <row r="121" spans="2:2" x14ac:dyDescent="0.3">
      <c r="B121" s="10"/>
    </row>
    <row r="122" spans="2:2" x14ac:dyDescent="0.3">
      <c r="B122" s="10"/>
    </row>
    <row r="123" spans="2:2" x14ac:dyDescent="0.3">
      <c r="B123" s="10"/>
    </row>
    <row r="124" spans="2:2" x14ac:dyDescent="0.3">
      <c r="B124" s="10"/>
    </row>
    <row r="125" spans="2:2" x14ac:dyDescent="0.3">
      <c r="B125" s="10"/>
    </row>
    <row r="126" spans="2:2" x14ac:dyDescent="0.3">
      <c r="B126" s="10"/>
    </row>
    <row r="127" spans="2:2" x14ac:dyDescent="0.3">
      <c r="B127" s="10"/>
    </row>
    <row r="128" spans="2:2" x14ac:dyDescent="0.3">
      <c r="B128" s="10"/>
    </row>
    <row r="129" spans="2:2" x14ac:dyDescent="0.3">
      <c r="B129" s="10"/>
    </row>
    <row r="130" spans="2:2" x14ac:dyDescent="0.3">
      <c r="B130" s="10"/>
    </row>
    <row r="131" spans="2:2" x14ac:dyDescent="0.3">
      <c r="B131" s="10"/>
    </row>
    <row r="132" spans="2:2" x14ac:dyDescent="0.3">
      <c r="B132" s="10"/>
    </row>
    <row r="133" spans="2:2" x14ac:dyDescent="0.3">
      <c r="B133" s="10"/>
    </row>
    <row r="134" spans="2:2" x14ac:dyDescent="0.3">
      <c r="B134" s="10"/>
    </row>
    <row r="135" spans="2:2" x14ac:dyDescent="0.3">
      <c r="B135" s="10"/>
    </row>
    <row r="136" spans="2:2" x14ac:dyDescent="0.3">
      <c r="B136" s="10"/>
    </row>
    <row r="137" spans="2:2" x14ac:dyDescent="0.3">
      <c r="B137" s="10"/>
    </row>
    <row r="138" spans="2:2" x14ac:dyDescent="0.3">
      <c r="B138" s="10"/>
    </row>
    <row r="139" spans="2:2" x14ac:dyDescent="0.3">
      <c r="B139" s="10"/>
    </row>
    <row r="140" spans="2:2" x14ac:dyDescent="0.3">
      <c r="B140" s="10"/>
    </row>
    <row r="141" spans="2:2" x14ac:dyDescent="0.3">
      <c r="B141" s="10"/>
    </row>
    <row r="142" spans="2:2" x14ac:dyDescent="0.3">
      <c r="B142" s="10"/>
    </row>
    <row r="143" spans="2:2" x14ac:dyDescent="0.3">
      <c r="B143" s="10"/>
    </row>
    <row r="144" spans="2:2" x14ac:dyDescent="0.3">
      <c r="B144" s="10"/>
    </row>
    <row r="145" spans="2:2" x14ac:dyDescent="0.3">
      <c r="B145" s="10"/>
    </row>
    <row r="146" spans="2:2" x14ac:dyDescent="0.3">
      <c r="B146" s="10"/>
    </row>
    <row r="147" spans="2:2" x14ac:dyDescent="0.3">
      <c r="B147" s="10"/>
    </row>
    <row r="148" spans="2:2" x14ac:dyDescent="0.3">
      <c r="B148" s="10"/>
    </row>
    <row r="149" spans="2:2" x14ac:dyDescent="0.3">
      <c r="B149" s="10"/>
    </row>
    <row r="150" spans="2:2" x14ac:dyDescent="0.3">
      <c r="B150" s="10"/>
    </row>
    <row r="151" spans="2:2" x14ac:dyDescent="0.3">
      <c r="B151" s="10"/>
    </row>
    <row r="152" spans="2:2" x14ac:dyDescent="0.3">
      <c r="B152" s="10"/>
    </row>
    <row r="153" spans="2:2" x14ac:dyDescent="0.3">
      <c r="B153" s="10"/>
    </row>
    <row r="154" spans="2:2" x14ac:dyDescent="0.3">
      <c r="B154" s="10"/>
    </row>
    <row r="155" spans="2:2" x14ac:dyDescent="0.3">
      <c r="B155" s="10"/>
    </row>
    <row r="156" spans="2:2" x14ac:dyDescent="0.3">
      <c r="B156" s="10"/>
    </row>
    <row r="157" spans="2:2" x14ac:dyDescent="0.3">
      <c r="B157" s="10"/>
    </row>
    <row r="158" spans="2:2" x14ac:dyDescent="0.3">
      <c r="B158" s="10"/>
    </row>
    <row r="159" spans="2:2" x14ac:dyDescent="0.3">
      <c r="B159" s="10"/>
    </row>
    <row r="160" spans="2:2" x14ac:dyDescent="0.3">
      <c r="B160" s="10"/>
    </row>
    <row r="161" spans="2:2" x14ac:dyDescent="0.3">
      <c r="B161" s="10"/>
    </row>
    <row r="162" spans="2:2" x14ac:dyDescent="0.3">
      <c r="B162" s="10"/>
    </row>
    <row r="163" spans="2:2" x14ac:dyDescent="0.3">
      <c r="B163" s="10"/>
    </row>
    <row r="164" spans="2:2" x14ac:dyDescent="0.3">
      <c r="B164" s="10"/>
    </row>
    <row r="165" spans="2:2" x14ac:dyDescent="0.3">
      <c r="B165" s="10"/>
    </row>
    <row r="166" spans="2:2" x14ac:dyDescent="0.3">
      <c r="B166" s="10"/>
    </row>
    <row r="167" spans="2:2" x14ac:dyDescent="0.3">
      <c r="B167" s="10"/>
    </row>
    <row r="168" spans="2:2" x14ac:dyDescent="0.3">
      <c r="B168" s="10"/>
    </row>
    <row r="169" spans="2:2" x14ac:dyDescent="0.3">
      <c r="B169" s="10"/>
    </row>
    <row r="170" spans="2:2" x14ac:dyDescent="0.3">
      <c r="B170" s="10"/>
    </row>
    <row r="171" spans="2:2" x14ac:dyDescent="0.3">
      <c r="B171" s="10"/>
    </row>
    <row r="172" spans="2:2" x14ac:dyDescent="0.3">
      <c r="B172" s="10"/>
    </row>
    <row r="173" spans="2:2" x14ac:dyDescent="0.3">
      <c r="B173" s="10"/>
    </row>
    <row r="174" spans="2:2" x14ac:dyDescent="0.3">
      <c r="B174" s="10"/>
    </row>
    <row r="175" spans="2:2" x14ac:dyDescent="0.3">
      <c r="B175" s="10"/>
    </row>
    <row r="176" spans="2:2" x14ac:dyDescent="0.3">
      <c r="B176" s="10"/>
    </row>
    <row r="177" spans="2:2" x14ac:dyDescent="0.3">
      <c r="B177" s="10"/>
    </row>
    <row r="178" spans="2:2" x14ac:dyDescent="0.3">
      <c r="B178" s="10"/>
    </row>
    <row r="179" spans="2:2" x14ac:dyDescent="0.3">
      <c r="B179" s="10"/>
    </row>
    <row r="180" spans="2:2" x14ac:dyDescent="0.3">
      <c r="B180" s="10"/>
    </row>
    <row r="181" spans="2:2" x14ac:dyDescent="0.3">
      <c r="B181" s="10"/>
    </row>
    <row r="182" spans="2:2" x14ac:dyDescent="0.3">
      <c r="B182" s="10"/>
    </row>
    <row r="183" spans="2:2" x14ac:dyDescent="0.3">
      <c r="B183" s="10"/>
    </row>
    <row r="184" spans="2:2" x14ac:dyDescent="0.3">
      <c r="B184" s="10"/>
    </row>
    <row r="185" spans="2:2" x14ac:dyDescent="0.3">
      <c r="B185" s="10"/>
    </row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6" tint="0.39997558519241921"/>
  </sheetPr>
  <dimension ref="A2:H547"/>
  <sheetViews>
    <sheetView workbookViewId="0">
      <pane xSplit="1" ySplit="4" topLeftCell="B5" activePane="bottomRight" state="frozen"/>
      <selection activeCell="A2" sqref="A2"/>
      <selection pane="topRight" activeCell="A2" sqref="A2"/>
      <selection pane="bottomLeft" activeCell="A2" sqref="A2"/>
      <selection pane="bottomRight" activeCell="B7" sqref="B7"/>
    </sheetView>
  </sheetViews>
  <sheetFormatPr defaultRowHeight="14.4" x14ac:dyDescent="0.3"/>
  <cols>
    <col min="2" max="2" width="13" customWidth="1"/>
    <col min="3" max="3" width="14.88671875" bestFit="1" customWidth="1"/>
    <col min="6" max="6" width="12.33203125" customWidth="1"/>
    <col min="7" max="8" width="72.109375" style="5" customWidth="1"/>
  </cols>
  <sheetData>
    <row r="2" spans="1:8" x14ac:dyDescent="0.3">
      <c r="B2" t="s">
        <v>88</v>
      </c>
      <c r="C2" s="2" t="s">
        <v>57</v>
      </c>
    </row>
    <row r="4" spans="1:8" s="1" customFormat="1" x14ac:dyDescent="0.3">
      <c r="B4" s="1" t="s">
        <v>95</v>
      </c>
      <c r="C4" s="1" t="s">
        <v>89</v>
      </c>
      <c r="D4" s="1" t="s">
        <v>91</v>
      </c>
      <c r="E4" s="1" t="s">
        <v>92</v>
      </c>
      <c r="F4" s="1" t="s">
        <v>90</v>
      </c>
      <c r="G4" s="6" t="s">
        <v>93</v>
      </c>
      <c r="H4" s="6"/>
    </row>
    <row r="5" spans="1:8" x14ac:dyDescent="0.3">
      <c r="A5" t="s">
        <v>247</v>
      </c>
      <c r="B5" t="s">
        <v>55</v>
      </c>
      <c r="C5" s="2" t="s">
        <v>85</v>
      </c>
      <c r="D5" s="2"/>
      <c r="E5" s="2"/>
      <c r="F5" s="2">
        <v>0</v>
      </c>
      <c r="G5" s="5" t="str">
        <f>IF(D5="",$C$2&amp;"$"&amp;C5&amp;" &lt;- "&amp;F5,IF(E5="",$C$2&amp;"$"&amp;C5&amp;"["&amp;$C$2&amp;"$"&amp;$B5&amp;" "&amp;$D5&amp;"] &lt;- "&amp;F5,$C$2&amp;"$"&amp;C5&amp;"["&amp;$C$2&amp;"$"&amp;$B5&amp;" "&amp;$D5&amp;" &amp; "&amp;$C$2&amp;"$"&amp;B5&amp;" "&amp;E5&amp;"] &lt;- "&amp;F5))</f>
        <v>data$Score1Pass &lt;- 0</v>
      </c>
    </row>
    <row r="6" spans="1:8" x14ac:dyDescent="0.3">
      <c r="B6" t="str">
        <f>B5</f>
        <v>SCORE1</v>
      </c>
      <c r="C6" t="str">
        <f>C5</f>
        <v>Score1Pass</v>
      </c>
      <c r="D6" s="2" t="s">
        <v>94</v>
      </c>
      <c r="E6" s="2"/>
      <c r="F6" s="2">
        <v>1</v>
      </c>
      <c r="G6" s="5" t="str">
        <f>IF(D6="",$C$2&amp;"$"&amp;C6&amp;" &lt;- "&amp;F6,IF(E6="",$C$2&amp;"$"&amp;C6&amp;"["&amp;$C$2&amp;"$"&amp;$B6&amp;" "&amp;$D6&amp;"] &lt;- "&amp;F6,$C$2&amp;"$"&amp;C6&amp;"["&amp;$C$2&amp;"$"&amp;$B6&amp;" "&amp;$D6&amp;" &amp; "&amp;$C$2&amp;"$"&amp;B6&amp;" "&amp;E6&amp;"] &lt;- "&amp;F6))</f>
        <v>data$Score1Pass[data$SCORE1 &gt;= 70] &lt;- 1</v>
      </c>
    </row>
    <row r="546" spans="3:6" x14ac:dyDescent="0.3">
      <c r="C546" s="2"/>
      <c r="D546" s="8"/>
      <c r="E546" s="2"/>
      <c r="F546" s="2"/>
    </row>
    <row r="547" spans="3:6" x14ac:dyDescent="0.3">
      <c r="C547" s="2"/>
      <c r="D547" s="8"/>
      <c r="E547" s="2"/>
      <c r="F547" s="2"/>
    </row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9" tint="0.39997558519241921"/>
  </sheetPr>
  <dimension ref="A1:N2880"/>
  <sheetViews>
    <sheetView workbookViewId="0">
      <pane ySplit="1" topLeftCell="A2" activePane="bottomLeft" state="frozen"/>
      <selection activeCell="H8" sqref="H8"/>
      <selection pane="bottomLeft" activeCell="G1" sqref="G1"/>
    </sheetView>
  </sheetViews>
  <sheetFormatPr defaultRowHeight="14.4" x14ac:dyDescent="0.3"/>
  <cols>
    <col min="1" max="1" width="41.6640625" bestFit="1" customWidth="1"/>
    <col min="3" max="3" width="4.88671875" customWidth="1"/>
    <col min="6" max="6" width="9.109375" style="4"/>
    <col min="8" max="8" width="2.88671875" customWidth="1"/>
    <col min="9" max="10" width="10.6640625" customWidth="1"/>
    <col min="11" max="11" width="2.88671875" customWidth="1"/>
    <col min="14" max="14" width="9.109375" style="4"/>
  </cols>
  <sheetData>
    <row r="1" spans="1:14" s="1" customFormat="1" x14ac:dyDescent="0.3">
      <c r="A1" t="s">
        <v>61</v>
      </c>
      <c r="B1" t="s">
        <v>62</v>
      </c>
      <c r="C1" t="s">
        <v>97</v>
      </c>
      <c r="D1" t="s">
        <v>98</v>
      </c>
      <c r="E1" t="s">
        <v>99</v>
      </c>
      <c r="F1" s="3" t="s">
        <v>86</v>
      </c>
      <c r="G1" s="1" t="s">
        <v>3</v>
      </c>
      <c r="N1" s="3"/>
    </row>
    <row r="2" spans="1:14" x14ac:dyDescent="0.3">
      <c r="A2" t="s">
        <v>325</v>
      </c>
      <c r="B2" t="s">
        <v>276</v>
      </c>
      <c r="C2" t="s">
        <v>325</v>
      </c>
      <c r="D2">
        <v>0</v>
      </c>
      <c r="E2">
        <v>0</v>
      </c>
      <c r="G2" s="4" t="str">
        <f>IFERROR(INDEX('2b. Dataset in R'!$H:$H,MATCH($A2,'2b. Dataset in R'!$A:$A,0)),PROPER($B2))</f>
        <v>Character</v>
      </c>
    </row>
    <row r="3" spans="1:14" x14ac:dyDescent="0.3">
      <c r="A3" t="s">
        <v>934</v>
      </c>
      <c r="B3" t="s">
        <v>277</v>
      </c>
      <c r="C3" t="s">
        <v>934</v>
      </c>
      <c r="D3">
        <v>0</v>
      </c>
      <c r="E3">
        <v>0</v>
      </c>
      <c r="F3" s="4" t="s">
        <v>87</v>
      </c>
      <c r="G3" s="4" t="str">
        <f>IFERROR(INDEX('2b. Dataset in R'!$H:$H,MATCH($A3,'2b. Dataset in R'!$A:$A,0)),PROPER($B3))</f>
        <v>Integer</v>
      </c>
    </row>
    <row r="4" spans="1:14" x14ac:dyDescent="0.3">
      <c r="A4" t="s">
        <v>935</v>
      </c>
      <c r="B4" t="s">
        <v>277</v>
      </c>
      <c r="C4" t="s">
        <v>935</v>
      </c>
      <c r="D4">
        <v>0</v>
      </c>
      <c r="E4">
        <v>0</v>
      </c>
      <c r="F4" s="4" t="s">
        <v>87</v>
      </c>
      <c r="G4" s="4" t="str">
        <f>IFERROR(INDEX('2b. Dataset in R'!$H:$H,MATCH($A4,'2b. Dataset in R'!$A:$A,0)),PROPER($B4))</f>
        <v>Integer</v>
      </c>
    </row>
    <row r="5" spans="1:14" x14ac:dyDescent="0.3">
      <c r="A5" t="s">
        <v>936</v>
      </c>
      <c r="B5" t="s">
        <v>277</v>
      </c>
      <c r="C5" t="s">
        <v>936</v>
      </c>
      <c r="D5">
        <v>0</v>
      </c>
      <c r="E5">
        <v>0</v>
      </c>
      <c r="F5" s="4" t="s">
        <v>87</v>
      </c>
      <c r="G5" s="4" t="str">
        <f>IFERROR(INDEX('2b. Dataset in R'!$H:$H,MATCH($A5,'2b. Dataset in R'!$A:$A,0)),PROPER($B5))</f>
        <v>Integer</v>
      </c>
    </row>
    <row r="6" spans="1:14" x14ac:dyDescent="0.3">
      <c r="A6" t="s">
        <v>937</v>
      </c>
      <c r="B6" t="s">
        <v>277</v>
      </c>
      <c r="C6" t="s">
        <v>937</v>
      </c>
      <c r="D6">
        <v>0</v>
      </c>
      <c r="E6">
        <v>0</v>
      </c>
      <c r="F6" s="4" t="s">
        <v>87</v>
      </c>
      <c r="G6" s="4" t="str">
        <f>IFERROR(INDEX('2b. Dataset in R'!$H:$H,MATCH($A6,'2b. Dataset in R'!$A:$A,0)),PROPER($B6))</f>
        <v>Integer</v>
      </c>
    </row>
    <row r="7" spans="1:14" x14ac:dyDescent="0.3">
      <c r="A7" t="s">
        <v>938</v>
      </c>
      <c r="B7" t="s">
        <v>277</v>
      </c>
      <c r="C7" t="s">
        <v>938</v>
      </c>
      <c r="D7">
        <v>0</v>
      </c>
      <c r="E7">
        <v>0</v>
      </c>
      <c r="F7" s="4" t="s">
        <v>87</v>
      </c>
      <c r="G7" s="4" t="str">
        <f>IFERROR(INDEX('2b. Dataset in R'!$H:$H,MATCH($A7,'2b. Dataset in R'!$A:$A,0)),PROPER($B7))</f>
        <v>Integer</v>
      </c>
    </row>
    <row r="8" spans="1:14" x14ac:dyDescent="0.3">
      <c r="A8" t="s">
        <v>939</v>
      </c>
      <c r="B8" t="s">
        <v>277</v>
      </c>
      <c r="C8" t="s">
        <v>939</v>
      </c>
      <c r="D8">
        <v>0</v>
      </c>
      <c r="E8">
        <v>0</v>
      </c>
      <c r="F8" s="4" t="s">
        <v>87</v>
      </c>
      <c r="G8" s="4" t="str">
        <f>IFERROR(INDEX('2b. Dataset in R'!$H:$H,MATCH($A8,'2b. Dataset in R'!$A:$A,0)),PROPER($B8))</f>
        <v>Integer</v>
      </c>
    </row>
    <row r="9" spans="1:14" x14ac:dyDescent="0.3">
      <c r="A9" t="s">
        <v>333</v>
      </c>
      <c r="B9" t="s">
        <v>263</v>
      </c>
      <c r="C9" t="s">
        <v>333</v>
      </c>
      <c r="D9">
        <v>0</v>
      </c>
      <c r="E9">
        <v>0</v>
      </c>
      <c r="F9" s="4" t="s">
        <v>87</v>
      </c>
      <c r="G9" s="4" t="str">
        <f>IFERROR(INDEX('2b. Dataset in R'!$H:$H,MATCH($A9,'2b. Dataset in R'!$A:$A,0)),PROPER($B9))</f>
        <v>Numeric</v>
      </c>
    </row>
    <row r="10" spans="1:14" x14ac:dyDescent="0.3">
      <c r="A10" t="s">
        <v>334</v>
      </c>
      <c r="B10" t="s">
        <v>263</v>
      </c>
      <c r="C10" t="s">
        <v>334</v>
      </c>
      <c r="D10">
        <v>0</v>
      </c>
      <c r="E10">
        <v>0</v>
      </c>
      <c r="F10" s="4" t="s">
        <v>87</v>
      </c>
      <c r="G10" s="4" t="str">
        <f>IFERROR(INDEX('2b. Dataset in R'!$H:$H,MATCH($A10,'2b. Dataset in R'!$A:$A,0)),PROPER($B10))</f>
        <v>Numeric</v>
      </c>
    </row>
    <row r="11" spans="1:14" x14ac:dyDescent="0.3">
      <c r="A11" t="s">
        <v>336</v>
      </c>
      <c r="B11" t="s">
        <v>276</v>
      </c>
      <c r="C11" t="s">
        <v>336</v>
      </c>
      <c r="D11">
        <v>0</v>
      </c>
      <c r="E11">
        <v>0</v>
      </c>
      <c r="G11" s="4" t="str">
        <f>IFERROR(INDEX('2b. Dataset in R'!$H:$H,MATCH($A11,'2b. Dataset in R'!$A:$A,0)),PROPER($B11))</f>
        <v>Character</v>
      </c>
    </row>
    <row r="12" spans="1:14" x14ac:dyDescent="0.3">
      <c r="A12" t="s">
        <v>940</v>
      </c>
      <c r="B12" t="s">
        <v>277</v>
      </c>
      <c r="C12" t="s">
        <v>940</v>
      </c>
      <c r="D12">
        <v>0</v>
      </c>
      <c r="E12">
        <v>0</v>
      </c>
      <c r="F12" s="4" t="s">
        <v>87</v>
      </c>
      <c r="G12" s="4" t="str">
        <f>IFERROR(INDEX('2b. Dataset in R'!$H:$H,MATCH($A12,'2b. Dataset in R'!$A:$A,0)),PROPER($B12))</f>
        <v>Integer</v>
      </c>
    </row>
    <row r="13" spans="1:14" x14ac:dyDescent="0.3">
      <c r="A13" t="s">
        <v>941</v>
      </c>
      <c r="B13" t="s">
        <v>277</v>
      </c>
      <c r="C13" t="s">
        <v>941</v>
      </c>
      <c r="D13">
        <v>0</v>
      </c>
      <c r="E13">
        <v>0</v>
      </c>
      <c r="F13" s="4" t="s">
        <v>87</v>
      </c>
      <c r="G13" s="4" t="str">
        <f>IFERROR(INDEX('2b. Dataset in R'!$H:$H,MATCH($A13,'2b. Dataset in R'!$A:$A,0)),PROPER($B13))</f>
        <v>Integer</v>
      </c>
    </row>
    <row r="14" spans="1:14" x14ac:dyDescent="0.3">
      <c r="A14" t="s">
        <v>337</v>
      </c>
      <c r="B14" t="s">
        <v>276</v>
      </c>
      <c r="C14" t="s">
        <v>337</v>
      </c>
      <c r="D14">
        <v>0</v>
      </c>
      <c r="E14">
        <v>0</v>
      </c>
      <c r="G14" s="4" t="str">
        <f>IFERROR(INDEX('2b. Dataset in R'!$H:$H,MATCH($A14,'2b. Dataset in R'!$A:$A,0)),PROPER($B14))</f>
        <v>Character</v>
      </c>
    </row>
    <row r="15" spans="1:14" x14ac:dyDescent="0.3">
      <c r="A15" t="s">
        <v>942</v>
      </c>
      <c r="B15" t="s">
        <v>277</v>
      </c>
      <c r="C15" t="s">
        <v>942</v>
      </c>
      <c r="D15">
        <v>0</v>
      </c>
      <c r="E15">
        <v>0</v>
      </c>
      <c r="F15" s="4" t="s">
        <v>87</v>
      </c>
      <c r="G15" s="4" t="str">
        <f>IFERROR(INDEX('2b. Dataset in R'!$H:$H,MATCH($A15,'2b. Dataset in R'!$A:$A,0)),PROPER($B15))</f>
        <v>Integer</v>
      </c>
    </row>
    <row r="16" spans="1:14" x14ac:dyDescent="0.3">
      <c r="A16" t="s">
        <v>943</v>
      </c>
      <c r="B16" t="s">
        <v>277</v>
      </c>
      <c r="C16" t="s">
        <v>943</v>
      </c>
      <c r="D16">
        <v>0</v>
      </c>
      <c r="E16">
        <v>0</v>
      </c>
      <c r="F16" s="4" t="s">
        <v>87</v>
      </c>
      <c r="G16" s="4" t="str">
        <f>IFERROR(INDEX('2b. Dataset in R'!$H:$H,MATCH($A16,'2b. Dataset in R'!$A:$A,0)),PROPER($B16))</f>
        <v>Integer</v>
      </c>
    </row>
    <row r="17" spans="1:7" x14ac:dyDescent="0.3">
      <c r="A17" t="s">
        <v>341</v>
      </c>
      <c r="B17" t="s">
        <v>276</v>
      </c>
      <c r="C17" t="s">
        <v>341</v>
      </c>
      <c r="D17">
        <v>0</v>
      </c>
      <c r="E17">
        <v>0</v>
      </c>
      <c r="G17" s="4" t="str">
        <f>IFERROR(INDEX('2b. Dataset in R'!$H:$H,MATCH($A17,'2b. Dataset in R'!$A:$A,0)),PROPER($B17))</f>
        <v>Character</v>
      </c>
    </row>
    <row r="18" spans="1:7" x14ac:dyDescent="0.3">
      <c r="A18" t="s">
        <v>944</v>
      </c>
      <c r="B18" t="s">
        <v>277</v>
      </c>
      <c r="C18" t="s">
        <v>944</v>
      </c>
      <c r="D18">
        <v>0</v>
      </c>
      <c r="E18">
        <v>0</v>
      </c>
      <c r="F18" s="4" t="s">
        <v>87</v>
      </c>
      <c r="G18" s="4" t="str">
        <f>IFERROR(INDEX('2b. Dataset in R'!$H:$H,MATCH($A18,'2b. Dataset in R'!$A:$A,0)),PROPER($B18))</f>
        <v>Integer</v>
      </c>
    </row>
    <row r="19" spans="1:7" x14ac:dyDescent="0.3">
      <c r="A19" t="s">
        <v>945</v>
      </c>
      <c r="B19" t="s">
        <v>277</v>
      </c>
      <c r="C19" t="s">
        <v>945</v>
      </c>
      <c r="D19">
        <v>0</v>
      </c>
      <c r="E19">
        <v>0</v>
      </c>
      <c r="F19" s="4" t="s">
        <v>87</v>
      </c>
      <c r="G19" s="4" t="str">
        <f>IFERROR(INDEX('2b. Dataset in R'!$H:$H,MATCH($A19,'2b. Dataset in R'!$A:$A,0)),PROPER($B19))</f>
        <v>Integer</v>
      </c>
    </row>
    <row r="20" spans="1:7" x14ac:dyDescent="0.3">
      <c r="A20" t="s">
        <v>342</v>
      </c>
      <c r="B20" t="s">
        <v>263</v>
      </c>
      <c r="C20" t="s">
        <v>342</v>
      </c>
      <c r="D20">
        <v>0</v>
      </c>
      <c r="E20">
        <v>0</v>
      </c>
      <c r="F20" s="4" t="s">
        <v>87</v>
      </c>
      <c r="G20" s="4" t="str">
        <f>IFERROR(INDEX('2b. Dataset in R'!$H:$H,MATCH($A20,'2b. Dataset in R'!$A:$A,0)),PROPER($B20))</f>
        <v>Numeric</v>
      </c>
    </row>
    <row r="21" spans="1:7" x14ac:dyDescent="0.3">
      <c r="A21" t="s">
        <v>344</v>
      </c>
      <c r="B21" t="s">
        <v>276</v>
      </c>
      <c r="C21" t="s">
        <v>344</v>
      </c>
      <c r="D21">
        <v>0</v>
      </c>
      <c r="E21">
        <v>0</v>
      </c>
      <c r="G21" s="4" t="str">
        <f>IFERROR(INDEX('2b. Dataset in R'!$H:$H,MATCH($A21,'2b. Dataset in R'!$A:$A,0)),PROPER($B21))</f>
        <v>Character</v>
      </c>
    </row>
    <row r="22" spans="1:7" x14ac:dyDescent="0.3">
      <c r="A22" t="s">
        <v>946</v>
      </c>
      <c r="B22" t="s">
        <v>277</v>
      </c>
      <c r="C22" t="s">
        <v>946</v>
      </c>
      <c r="D22">
        <v>0</v>
      </c>
      <c r="E22">
        <v>0</v>
      </c>
      <c r="F22" s="4" t="s">
        <v>87</v>
      </c>
      <c r="G22" s="4" t="str">
        <f>IFERROR(INDEX('2b. Dataset in R'!$H:$H,MATCH($A22,'2b. Dataset in R'!$A:$A,0)),PROPER($B22))</f>
        <v>Integer</v>
      </c>
    </row>
    <row r="23" spans="1:7" x14ac:dyDescent="0.3">
      <c r="A23" t="s">
        <v>947</v>
      </c>
      <c r="B23" t="s">
        <v>277</v>
      </c>
      <c r="C23" t="s">
        <v>947</v>
      </c>
      <c r="D23">
        <v>0</v>
      </c>
      <c r="E23">
        <v>0</v>
      </c>
      <c r="F23" s="4" t="s">
        <v>87</v>
      </c>
      <c r="G23" s="4" t="str">
        <f>IFERROR(INDEX('2b. Dataset in R'!$H:$H,MATCH($A23,'2b. Dataset in R'!$A:$A,0)),PROPER($B23))</f>
        <v>Integer</v>
      </c>
    </row>
    <row r="24" spans="1:7" x14ac:dyDescent="0.3">
      <c r="A24" t="s">
        <v>948</v>
      </c>
      <c r="B24" t="s">
        <v>277</v>
      </c>
      <c r="C24" t="s">
        <v>948</v>
      </c>
      <c r="D24">
        <v>0</v>
      </c>
      <c r="E24">
        <v>0</v>
      </c>
      <c r="F24" s="4" t="s">
        <v>87</v>
      </c>
      <c r="G24" s="4" t="str">
        <f>IFERROR(INDEX('2b. Dataset in R'!$H:$H,MATCH($A24,'2b. Dataset in R'!$A:$A,0)),PROPER($B24))</f>
        <v>Integer</v>
      </c>
    </row>
    <row r="25" spans="1:7" x14ac:dyDescent="0.3">
      <c r="A25" t="s">
        <v>347</v>
      </c>
      <c r="B25" t="s">
        <v>276</v>
      </c>
      <c r="C25" t="s">
        <v>347</v>
      </c>
      <c r="D25">
        <v>0</v>
      </c>
      <c r="E25">
        <v>0</v>
      </c>
      <c r="G25" s="4" t="str">
        <f>IFERROR(INDEX('2b. Dataset in R'!$H:$H,MATCH($A25,'2b. Dataset in R'!$A:$A,0)),PROPER($B25))</f>
        <v>Character</v>
      </c>
    </row>
    <row r="26" spans="1:7" x14ac:dyDescent="0.3">
      <c r="A26" t="s">
        <v>949</v>
      </c>
      <c r="B26" t="s">
        <v>277</v>
      </c>
      <c r="C26" t="s">
        <v>949</v>
      </c>
      <c r="D26">
        <v>0</v>
      </c>
      <c r="E26">
        <v>0</v>
      </c>
      <c r="F26" s="4" t="s">
        <v>87</v>
      </c>
      <c r="G26" s="4" t="str">
        <f>IFERROR(INDEX('2b. Dataset in R'!$H:$H,MATCH($A26,'2b. Dataset in R'!$A:$A,0)),PROPER($B26))</f>
        <v>Integer</v>
      </c>
    </row>
    <row r="27" spans="1:7" x14ac:dyDescent="0.3">
      <c r="A27" t="s">
        <v>950</v>
      </c>
      <c r="B27" t="s">
        <v>277</v>
      </c>
      <c r="C27" t="s">
        <v>950</v>
      </c>
      <c r="D27">
        <v>0</v>
      </c>
      <c r="E27">
        <v>0</v>
      </c>
      <c r="F27" s="4" t="s">
        <v>87</v>
      </c>
      <c r="G27" s="4" t="str">
        <f>IFERROR(INDEX('2b. Dataset in R'!$H:$H,MATCH($A27,'2b. Dataset in R'!$A:$A,0)),PROPER($B27))</f>
        <v>Integer</v>
      </c>
    </row>
    <row r="28" spans="1:7" x14ac:dyDescent="0.3">
      <c r="A28" t="s">
        <v>348</v>
      </c>
      <c r="B28" t="s">
        <v>263</v>
      </c>
      <c r="C28" t="s">
        <v>348</v>
      </c>
      <c r="D28">
        <v>0</v>
      </c>
      <c r="E28">
        <v>0</v>
      </c>
      <c r="F28" s="4" t="s">
        <v>87</v>
      </c>
      <c r="G28" s="4" t="str">
        <f>IFERROR(INDEX('2b. Dataset in R'!$H:$H,MATCH($A28,'2b. Dataset in R'!$A:$A,0)),PROPER($B28))</f>
        <v>Numeric</v>
      </c>
    </row>
    <row r="29" spans="1:7" x14ac:dyDescent="0.3">
      <c r="A29" t="s">
        <v>351</v>
      </c>
      <c r="B29" t="s">
        <v>276</v>
      </c>
      <c r="C29" t="s">
        <v>351</v>
      </c>
      <c r="D29">
        <v>0</v>
      </c>
      <c r="E29">
        <v>0</v>
      </c>
      <c r="G29" s="4" t="str">
        <f>IFERROR(INDEX('2b. Dataset in R'!$H:$H,MATCH($A29,'2b. Dataset in R'!$A:$A,0)),PROPER($B29))</f>
        <v>Character</v>
      </c>
    </row>
    <row r="30" spans="1:7" x14ac:dyDescent="0.3">
      <c r="A30" t="s">
        <v>951</v>
      </c>
      <c r="B30" t="s">
        <v>277</v>
      </c>
      <c r="C30" t="s">
        <v>951</v>
      </c>
      <c r="D30">
        <v>0</v>
      </c>
      <c r="E30">
        <v>0</v>
      </c>
      <c r="F30" s="4" t="s">
        <v>87</v>
      </c>
      <c r="G30" s="4" t="str">
        <f>IFERROR(INDEX('2b. Dataset in R'!$H:$H,MATCH($A30,'2b. Dataset in R'!$A:$A,0)),PROPER($B30))</f>
        <v>Integer</v>
      </c>
    </row>
    <row r="31" spans="1:7" x14ac:dyDescent="0.3">
      <c r="A31" t="s">
        <v>952</v>
      </c>
      <c r="B31" t="s">
        <v>277</v>
      </c>
      <c r="C31" t="s">
        <v>952</v>
      </c>
      <c r="D31">
        <v>0</v>
      </c>
      <c r="E31">
        <v>0</v>
      </c>
      <c r="F31" s="4" t="s">
        <v>87</v>
      </c>
      <c r="G31" s="4" t="str">
        <f>IFERROR(INDEX('2b. Dataset in R'!$H:$H,MATCH($A31,'2b. Dataset in R'!$A:$A,0)),PROPER($B31))</f>
        <v>Integer</v>
      </c>
    </row>
    <row r="32" spans="1:7" x14ac:dyDescent="0.3">
      <c r="A32" t="s">
        <v>953</v>
      </c>
      <c r="B32" t="s">
        <v>277</v>
      </c>
      <c r="C32" t="s">
        <v>953</v>
      </c>
      <c r="D32">
        <v>0</v>
      </c>
      <c r="E32">
        <v>0</v>
      </c>
      <c r="F32" s="4" t="s">
        <v>87</v>
      </c>
      <c r="G32" s="4" t="str">
        <f>IFERROR(INDEX('2b. Dataset in R'!$H:$H,MATCH($A32,'2b. Dataset in R'!$A:$A,0)),PROPER($B32))</f>
        <v>Integer</v>
      </c>
    </row>
    <row r="33" spans="1:7" x14ac:dyDescent="0.3">
      <c r="A33" t="s">
        <v>954</v>
      </c>
      <c r="B33" t="s">
        <v>277</v>
      </c>
      <c r="C33" t="s">
        <v>954</v>
      </c>
      <c r="D33">
        <v>0</v>
      </c>
      <c r="E33">
        <v>0</v>
      </c>
      <c r="F33" s="4" t="s">
        <v>87</v>
      </c>
      <c r="G33" s="4" t="str">
        <f>IFERROR(INDEX('2b. Dataset in R'!$H:$H,MATCH($A33,'2b. Dataset in R'!$A:$A,0)),PROPER($B33))</f>
        <v>Integer</v>
      </c>
    </row>
    <row r="34" spans="1:7" x14ac:dyDescent="0.3">
      <c r="A34" t="s">
        <v>955</v>
      </c>
      <c r="B34" t="s">
        <v>277</v>
      </c>
      <c r="C34" t="s">
        <v>955</v>
      </c>
      <c r="D34">
        <v>0</v>
      </c>
      <c r="E34">
        <v>0</v>
      </c>
      <c r="F34" s="4" t="s">
        <v>87</v>
      </c>
      <c r="G34" s="4" t="str">
        <f>IFERROR(INDEX('2b. Dataset in R'!$H:$H,MATCH($A34,'2b. Dataset in R'!$A:$A,0)),PROPER($B34))</f>
        <v>Integer</v>
      </c>
    </row>
    <row r="35" spans="1:7" x14ac:dyDescent="0.3">
      <c r="A35" t="s">
        <v>956</v>
      </c>
      <c r="B35" t="s">
        <v>277</v>
      </c>
      <c r="C35" t="s">
        <v>956</v>
      </c>
      <c r="D35">
        <v>0</v>
      </c>
      <c r="E35">
        <v>0</v>
      </c>
      <c r="F35" s="4" t="s">
        <v>87</v>
      </c>
      <c r="G35" s="4" t="str">
        <f>IFERROR(INDEX('2b. Dataset in R'!$H:$H,MATCH($A35,'2b. Dataset in R'!$A:$A,0)),PROPER($B35))</f>
        <v>Integer</v>
      </c>
    </row>
    <row r="36" spans="1:7" x14ac:dyDescent="0.3">
      <c r="A36" t="s">
        <v>957</v>
      </c>
      <c r="B36" t="s">
        <v>277</v>
      </c>
      <c r="C36" t="s">
        <v>957</v>
      </c>
      <c r="D36">
        <v>0</v>
      </c>
      <c r="E36">
        <v>0</v>
      </c>
      <c r="F36" s="4" t="s">
        <v>87</v>
      </c>
      <c r="G36" s="4" t="str">
        <f>IFERROR(INDEX('2b. Dataset in R'!$H:$H,MATCH($A36,'2b. Dataset in R'!$A:$A,0)),PROPER($B36))</f>
        <v>Integer</v>
      </c>
    </row>
    <row r="37" spans="1:7" x14ac:dyDescent="0.3">
      <c r="A37" t="s">
        <v>352</v>
      </c>
      <c r="B37" t="s">
        <v>276</v>
      </c>
      <c r="C37" t="s">
        <v>352</v>
      </c>
      <c r="D37">
        <v>0</v>
      </c>
      <c r="E37">
        <v>0</v>
      </c>
      <c r="G37" s="4" t="str">
        <f>IFERROR(INDEX('2b. Dataset in R'!$H:$H,MATCH($A37,'2b. Dataset in R'!$A:$A,0)),PROPER($B37))</f>
        <v>Character</v>
      </c>
    </row>
    <row r="38" spans="1:7" x14ac:dyDescent="0.3">
      <c r="A38" t="s">
        <v>958</v>
      </c>
      <c r="B38" t="s">
        <v>277</v>
      </c>
      <c r="C38" t="s">
        <v>958</v>
      </c>
      <c r="D38">
        <v>0</v>
      </c>
      <c r="E38">
        <v>0</v>
      </c>
      <c r="F38" s="4" t="s">
        <v>87</v>
      </c>
      <c r="G38" s="4" t="str">
        <f>IFERROR(INDEX('2b. Dataset in R'!$H:$H,MATCH($A38,'2b. Dataset in R'!$A:$A,0)),PROPER($B38))</f>
        <v>Integer</v>
      </c>
    </row>
    <row r="39" spans="1:7" x14ac:dyDescent="0.3">
      <c r="A39" t="s">
        <v>959</v>
      </c>
      <c r="B39" t="s">
        <v>277</v>
      </c>
      <c r="C39" t="s">
        <v>959</v>
      </c>
      <c r="D39">
        <v>0</v>
      </c>
      <c r="E39">
        <v>0</v>
      </c>
      <c r="F39" s="4" t="s">
        <v>87</v>
      </c>
      <c r="G39" s="4" t="str">
        <f>IFERROR(INDEX('2b. Dataset in R'!$H:$H,MATCH($A39,'2b. Dataset in R'!$A:$A,0)),PROPER($B39))</f>
        <v>Integer</v>
      </c>
    </row>
    <row r="40" spans="1:7" x14ac:dyDescent="0.3">
      <c r="A40" t="s">
        <v>960</v>
      </c>
      <c r="B40" t="s">
        <v>277</v>
      </c>
      <c r="C40" t="s">
        <v>960</v>
      </c>
      <c r="D40">
        <v>0</v>
      </c>
      <c r="E40">
        <v>0</v>
      </c>
      <c r="F40" s="4" t="s">
        <v>87</v>
      </c>
      <c r="G40" s="4" t="str">
        <f>IFERROR(INDEX('2b. Dataset in R'!$H:$H,MATCH($A40,'2b. Dataset in R'!$A:$A,0)),PROPER($B40))</f>
        <v>Integer</v>
      </c>
    </row>
    <row r="41" spans="1:7" x14ac:dyDescent="0.3">
      <c r="A41" t="s">
        <v>356</v>
      </c>
      <c r="B41" t="s">
        <v>276</v>
      </c>
      <c r="C41" t="s">
        <v>356</v>
      </c>
      <c r="D41">
        <v>0</v>
      </c>
      <c r="E41">
        <v>0</v>
      </c>
      <c r="G41" s="4" t="str">
        <f>IFERROR(INDEX('2b. Dataset in R'!$H:$H,MATCH($A41,'2b. Dataset in R'!$A:$A,0)),PROPER($B41))</f>
        <v>Character</v>
      </c>
    </row>
    <row r="42" spans="1:7" x14ac:dyDescent="0.3">
      <c r="A42" t="s">
        <v>961</v>
      </c>
      <c r="B42" t="s">
        <v>277</v>
      </c>
      <c r="C42" t="s">
        <v>961</v>
      </c>
      <c r="D42">
        <v>0</v>
      </c>
      <c r="E42">
        <v>0</v>
      </c>
      <c r="F42" s="4" t="s">
        <v>87</v>
      </c>
      <c r="G42" s="4" t="str">
        <f>IFERROR(INDEX('2b. Dataset in R'!$H:$H,MATCH($A42,'2b. Dataset in R'!$A:$A,0)),PROPER($B42))</f>
        <v>Integer</v>
      </c>
    </row>
    <row r="43" spans="1:7" x14ac:dyDescent="0.3">
      <c r="A43" t="s">
        <v>962</v>
      </c>
      <c r="B43" t="s">
        <v>277</v>
      </c>
      <c r="C43" t="s">
        <v>962</v>
      </c>
      <c r="D43">
        <v>0</v>
      </c>
      <c r="E43">
        <v>0</v>
      </c>
      <c r="F43" s="4" t="s">
        <v>87</v>
      </c>
      <c r="G43" s="4" t="str">
        <f>IFERROR(INDEX('2b. Dataset in R'!$H:$H,MATCH($A43,'2b. Dataset in R'!$A:$A,0)),PROPER($B43))</f>
        <v>Integer</v>
      </c>
    </row>
    <row r="44" spans="1:7" x14ac:dyDescent="0.3">
      <c r="A44" t="s">
        <v>963</v>
      </c>
      <c r="B44" t="s">
        <v>277</v>
      </c>
      <c r="C44" t="s">
        <v>963</v>
      </c>
      <c r="D44">
        <v>0</v>
      </c>
      <c r="E44">
        <v>0</v>
      </c>
      <c r="F44" s="4" t="s">
        <v>87</v>
      </c>
      <c r="G44" s="4" t="str">
        <f>IFERROR(INDEX('2b. Dataset in R'!$H:$H,MATCH($A44,'2b. Dataset in R'!$A:$A,0)),PROPER($B44))</f>
        <v>Integer</v>
      </c>
    </row>
    <row r="45" spans="1:7" x14ac:dyDescent="0.3">
      <c r="A45" t="s">
        <v>964</v>
      </c>
      <c r="B45" t="s">
        <v>277</v>
      </c>
      <c r="C45" t="s">
        <v>964</v>
      </c>
      <c r="D45">
        <v>0</v>
      </c>
      <c r="E45">
        <v>0</v>
      </c>
      <c r="F45" s="4" t="s">
        <v>87</v>
      </c>
      <c r="G45" s="4" t="str">
        <f>IFERROR(INDEX('2b. Dataset in R'!$H:$H,MATCH($A45,'2b. Dataset in R'!$A:$A,0)),PROPER($B45))</f>
        <v>Integer</v>
      </c>
    </row>
    <row r="46" spans="1:7" x14ac:dyDescent="0.3">
      <c r="A46" t="s">
        <v>965</v>
      </c>
      <c r="B46" t="s">
        <v>277</v>
      </c>
      <c r="C46" t="s">
        <v>965</v>
      </c>
      <c r="D46">
        <v>0</v>
      </c>
      <c r="E46">
        <v>0</v>
      </c>
      <c r="F46" s="4" t="s">
        <v>87</v>
      </c>
      <c r="G46" s="4" t="str">
        <f>IFERROR(INDEX('2b. Dataset in R'!$H:$H,MATCH($A46,'2b. Dataset in R'!$A:$A,0)),PROPER($B46))</f>
        <v>Integer</v>
      </c>
    </row>
    <row r="47" spans="1:7" x14ac:dyDescent="0.3">
      <c r="A47" t="s">
        <v>371</v>
      </c>
      <c r="B47" t="s">
        <v>276</v>
      </c>
      <c r="C47" t="s">
        <v>371</v>
      </c>
      <c r="D47">
        <v>0</v>
      </c>
      <c r="E47">
        <v>0</v>
      </c>
      <c r="G47" s="4" t="str">
        <f>IFERROR(INDEX('2b. Dataset in R'!$H:$H,MATCH($A47,'2b. Dataset in R'!$A:$A,0)),PROPER($B47))</f>
        <v>Character</v>
      </c>
    </row>
    <row r="48" spans="1:7" x14ac:dyDescent="0.3">
      <c r="A48" t="s">
        <v>966</v>
      </c>
      <c r="B48" t="s">
        <v>277</v>
      </c>
      <c r="C48" t="s">
        <v>966</v>
      </c>
      <c r="D48">
        <v>0</v>
      </c>
      <c r="E48">
        <v>0</v>
      </c>
      <c r="F48" s="4" t="s">
        <v>87</v>
      </c>
      <c r="G48" s="4" t="str">
        <f>IFERROR(INDEX('2b. Dataset in R'!$H:$H,MATCH($A48,'2b. Dataset in R'!$A:$A,0)),PROPER($B48))</f>
        <v>Integer</v>
      </c>
    </row>
    <row r="49" spans="1:7" x14ac:dyDescent="0.3">
      <c r="A49" t="s">
        <v>967</v>
      </c>
      <c r="B49" t="s">
        <v>277</v>
      </c>
      <c r="C49" t="s">
        <v>967</v>
      </c>
      <c r="D49">
        <v>0</v>
      </c>
      <c r="E49">
        <v>0</v>
      </c>
      <c r="G49" s="4" t="str">
        <f>IFERROR(INDEX('2b. Dataset in R'!$H:$H,MATCH($A49,'2b. Dataset in R'!$A:$A,0)),PROPER($B49))</f>
        <v>Integer</v>
      </c>
    </row>
    <row r="50" spans="1:7" x14ac:dyDescent="0.3">
      <c r="A50" t="s">
        <v>968</v>
      </c>
      <c r="B50" t="s">
        <v>277</v>
      </c>
      <c r="C50" t="s">
        <v>968</v>
      </c>
      <c r="D50">
        <v>0</v>
      </c>
      <c r="E50">
        <v>0</v>
      </c>
      <c r="F50" s="4" t="s">
        <v>87</v>
      </c>
      <c r="G50" s="4" t="str">
        <f>IFERROR(INDEX('2b. Dataset in R'!$H:$H,MATCH($A50,'2b. Dataset in R'!$A:$A,0)),PROPER($B50))</f>
        <v>Integer</v>
      </c>
    </row>
    <row r="51" spans="1:7" x14ac:dyDescent="0.3">
      <c r="A51" t="s">
        <v>372</v>
      </c>
      <c r="B51" t="s">
        <v>263</v>
      </c>
      <c r="C51" t="s">
        <v>372</v>
      </c>
      <c r="D51">
        <v>0</v>
      </c>
      <c r="E51">
        <v>0</v>
      </c>
      <c r="F51" s="4" t="s">
        <v>87</v>
      </c>
      <c r="G51" s="4" t="str">
        <f>IFERROR(INDEX('2b. Dataset in R'!$H:$H,MATCH($A51,'2b. Dataset in R'!$A:$A,0)),PROPER($B51))</f>
        <v>Numeric</v>
      </c>
    </row>
    <row r="52" spans="1:7" x14ac:dyDescent="0.3">
      <c r="A52" t="s">
        <v>380</v>
      </c>
      <c r="B52" t="s">
        <v>276</v>
      </c>
      <c r="C52" t="s">
        <v>380</v>
      </c>
      <c r="D52">
        <v>0</v>
      </c>
      <c r="E52">
        <v>0</v>
      </c>
      <c r="G52" s="4" t="str">
        <f>IFERROR(INDEX('2b. Dataset in R'!$H:$H,MATCH($A52,'2b. Dataset in R'!$A:$A,0)),PROPER($B52))</f>
        <v>Character</v>
      </c>
    </row>
    <row r="53" spans="1:7" x14ac:dyDescent="0.3">
      <c r="A53" t="s">
        <v>969</v>
      </c>
      <c r="B53" t="s">
        <v>277</v>
      </c>
      <c r="C53" t="s">
        <v>969</v>
      </c>
      <c r="D53">
        <v>0</v>
      </c>
      <c r="E53">
        <v>0</v>
      </c>
      <c r="F53" s="4" t="s">
        <v>87</v>
      </c>
      <c r="G53" s="4" t="str">
        <f>IFERROR(INDEX('2b. Dataset in R'!$H:$H,MATCH($A53,'2b. Dataset in R'!$A:$A,0)),PROPER($B53))</f>
        <v>Integer</v>
      </c>
    </row>
    <row r="54" spans="1:7" x14ac:dyDescent="0.3">
      <c r="A54" t="s">
        <v>970</v>
      </c>
      <c r="B54" t="s">
        <v>277</v>
      </c>
      <c r="C54" t="s">
        <v>970</v>
      </c>
      <c r="D54">
        <v>0</v>
      </c>
      <c r="E54">
        <v>0</v>
      </c>
      <c r="F54" s="4" t="s">
        <v>87</v>
      </c>
      <c r="G54" s="4" t="str">
        <f>IFERROR(INDEX('2b. Dataset in R'!$H:$H,MATCH($A54,'2b. Dataset in R'!$A:$A,0)),PROPER($B54))</f>
        <v>Integer</v>
      </c>
    </row>
    <row r="55" spans="1:7" x14ac:dyDescent="0.3">
      <c r="A55" t="s">
        <v>971</v>
      </c>
      <c r="B55" t="s">
        <v>277</v>
      </c>
      <c r="C55" t="s">
        <v>971</v>
      </c>
      <c r="D55">
        <v>0</v>
      </c>
      <c r="E55">
        <v>0</v>
      </c>
      <c r="F55" s="4" t="s">
        <v>87</v>
      </c>
      <c r="G55" s="4" t="str">
        <f>IFERROR(INDEX('2b. Dataset in R'!$H:$H,MATCH($A55,'2b. Dataset in R'!$A:$A,0)),PROPER($B55))</f>
        <v>Integer</v>
      </c>
    </row>
    <row r="56" spans="1:7" x14ac:dyDescent="0.3">
      <c r="A56" t="s">
        <v>972</v>
      </c>
      <c r="B56" t="s">
        <v>277</v>
      </c>
      <c r="C56" t="s">
        <v>972</v>
      </c>
      <c r="D56">
        <v>0</v>
      </c>
      <c r="E56">
        <v>0</v>
      </c>
      <c r="G56" s="4" t="str">
        <f>IFERROR(INDEX('2b. Dataset in R'!$H:$H,MATCH($A56,'2b. Dataset in R'!$A:$A,0)),PROPER($B56))</f>
        <v>Integer</v>
      </c>
    </row>
    <row r="57" spans="1:7" x14ac:dyDescent="0.3">
      <c r="A57" t="s">
        <v>973</v>
      </c>
      <c r="B57" t="s">
        <v>277</v>
      </c>
      <c r="C57" t="s">
        <v>973</v>
      </c>
      <c r="D57">
        <v>0</v>
      </c>
      <c r="E57">
        <v>0</v>
      </c>
      <c r="F57" s="4" t="s">
        <v>87</v>
      </c>
      <c r="G57" s="4" t="str">
        <f>IFERROR(INDEX('2b. Dataset in R'!$H:$H,MATCH($A57,'2b. Dataset in R'!$A:$A,0)),PROPER($B57))</f>
        <v>Integer</v>
      </c>
    </row>
    <row r="58" spans="1:7" x14ac:dyDescent="0.3">
      <c r="A58" t="s">
        <v>974</v>
      </c>
      <c r="B58" t="s">
        <v>277</v>
      </c>
      <c r="C58" t="s">
        <v>974</v>
      </c>
      <c r="D58">
        <v>0</v>
      </c>
      <c r="E58">
        <v>0</v>
      </c>
      <c r="F58" s="4" t="s">
        <v>87</v>
      </c>
      <c r="G58" s="4" t="str">
        <f>IFERROR(INDEX('2b. Dataset in R'!$H:$H,MATCH($A58,'2b. Dataset in R'!$A:$A,0)),PROPER($B58))</f>
        <v>Integer</v>
      </c>
    </row>
    <row r="59" spans="1:7" x14ac:dyDescent="0.3">
      <c r="A59" t="s">
        <v>389</v>
      </c>
      <c r="B59" t="s">
        <v>276</v>
      </c>
      <c r="C59" t="s">
        <v>389</v>
      </c>
      <c r="D59">
        <v>0</v>
      </c>
      <c r="E59">
        <v>0</v>
      </c>
      <c r="G59" s="4" t="str">
        <f>IFERROR(INDEX('2b. Dataset in R'!$H:$H,MATCH($A59,'2b. Dataset in R'!$A:$A,0)),PROPER($B59))</f>
        <v>Character</v>
      </c>
    </row>
    <row r="60" spans="1:7" x14ac:dyDescent="0.3">
      <c r="A60" t="s">
        <v>975</v>
      </c>
      <c r="B60" t="s">
        <v>277</v>
      </c>
      <c r="C60" t="s">
        <v>975</v>
      </c>
      <c r="D60">
        <v>0</v>
      </c>
      <c r="E60">
        <v>0</v>
      </c>
      <c r="F60" s="4" t="s">
        <v>87</v>
      </c>
      <c r="G60" s="4" t="str">
        <f>IFERROR(INDEX('2b. Dataset in R'!$H:$H,MATCH($A60,'2b. Dataset in R'!$A:$A,0)),PROPER($B60))</f>
        <v>Integer</v>
      </c>
    </row>
    <row r="61" spans="1:7" x14ac:dyDescent="0.3">
      <c r="A61" t="s">
        <v>976</v>
      </c>
      <c r="B61" t="s">
        <v>277</v>
      </c>
      <c r="C61" t="s">
        <v>976</v>
      </c>
      <c r="D61">
        <v>0</v>
      </c>
      <c r="E61">
        <v>0</v>
      </c>
      <c r="G61" s="4" t="str">
        <f>IFERROR(INDEX('2b. Dataset in R'!$H:$H,MATCH($A61,'2b. Dataset in R'!$A:$A,0)),PROPER($B61))</f>
        <v>Integer</v>
      </c>
    </row>
    <row r="62" spans="1:7" x14ac:dyDescent="0.3">
      <c r="A62" t="s">
        <v>977</v>
      </c>
      <c r="B62" t="s">
        <v>277</v>
      </c>
      <c r="C62" t="s">
        <v>977</v>
      </c>
      <c r="D62">
        <v>0</v>
      </c>
      <c r="E62">
        <v>0</v>
      </c>
      <c r="F62" s="4" t="s">
        <v>87</v>
      </c>
      <c r="G62" s="4" t="str">
        <f>IFERROR(INDEX('2b. Dataset in R'!$H:$H,MATCH($A62,'2b. Dataset in R'!$A:$A,0)),PROPER($B62))</f>
        <v>Integer</v>
      </c>
    </row>
    <row r="63" spans="1:7" x14ac:dyDescent="0.3">
      <c r="A63" t="s">
        <v>390</v>
      </c>
      <c r="B63" t="s">
        <v>263</v>
      </c>
      <c r="C63" t="s">
        <v>390</v>
      </c>
      <c r="D63">
        <v>0</v>
      </c>
      <c r="E63">
        <v>0</v>
      </c>
      <c r="F63" s="4" t="s">
        <v>87</v>
      </c>
      <c r="G63" s="4" t="str">
        <f>IFERROR(INDEX('2b. Dataset in R'!$H:$H,MATCH($A63,'2b. Dataset in R'!$A:$A,0)),PROPER($B63))</f>
        <v>Numeric</v>
      </c>
    </row>
    <row r="64" spans="1:7" x14ac:dyDescent="0.3">
      <c r="A64" t="s">
        <v>398</v>
      </c>
      <c r="B64" t="s">
        <v>276</v>
      </c>
      <c r="C64" t="s">
        <v>398</v>
      </c>
      <c r="D64">
        <v>0</v>
      </c>
      <c r="E64">
        <v>0</v>
      </c>
      <c r="G64" s="4" t="str">
        <f>IFERROR(INDEX('2b. Dataset in R'!$H:$H,MATCH($A64,'2b. Dataset in R'!$A:$A,0)),PROPER($B64))</f>
        <v>Character</v>
      </c>
    </row>
    <row r="65" spans="1:7" x14ac:dyDescent="0.3">
      <c r="A65" t="s">
        <v>978</v>
      </c>
      <c r="B65" t="s">
        <v>277</v>
      </c>
      <c r="C65" t="s">
        <v>978</v>
      </c>
      <c r="D65">
        <v>0</v>
      </c>
      <c r="E65">
        <v>0</v>
      </c>
      <c r="F65" s="4" t="s">
        <v>87</v>
      </c>
      <c r="G65" s="4" t="str">
        <f>IFERROR(INDEX('2b. Dataset in R'!$H:$H,MATCH($A65,'2b. Dataset in R'!$A:$A,0)),PROPER($B65))</f>
        <v>Integer</v>
      </c>
    </row>
    <row r="66" spans="1:7" x14ac:dyDescent="0.3">
      <c r="A66" t="s">
        <v>979</v>
      </c>
      <c r="B66" t="s">
        <v>277</v>
      </c>
      <c r="C66" t="s">
        <v>979</v>
      </c>
      <c r="D66">
        <v>0</v>
      </c>
      <c r="E66">
        <v>0</v>
      </c>
      <c r="F66" s="4" t="s">
        <v>87</v>
      </c>
      <c r="G66" s="4" t="str">
        <f>IFERROR(INDEX('2b. Dataset in R'!$H:$H,MATCH($A66,'2b. Dataset in R'!$A:$A,0)),PROPER($B66))</f>
        <v>Integer</v>
      </c>
    </row>
    <row r="67" spans="1:7" x14ac:dyDescent="0.3">
      <c r="A67" t="s">
        <v>980</v>
      </c>
      <c r="B67" t="s">
        <v>277</v>
      </c>
      <c r="C67" t="s">
        <v>980</v>
      </c>
      <c r="D67">
        <v>0</v>
      </c>
      <c r="E67">
        <v>0</v>
      </c>
      <c r="F67" s="4" t="s">
        <v>87</v>
      </c>
      <c r="G67" s="4" t="str">
        <f>IFERROR(INDEX('2b. Dataset in R'!$H:$H,MATCH($A67,'2b. Dataset in R'!$A:$A,0)),PROPER($B67))</f>
        <v>Integer</v>
      </c>
    </row>
    <row r="68" spans="1:7" x14ac:dyDescent="0.3">
      <c r="A68" t="s">
        <v>981</v>
      </c>
      <c r="B68" t="s">
        <v>277</v>
      </c>
      <c r="C68" t="s">
        <v>981</v>
      </c>
      <c r="D68">
        <v>0</v>
      </c>
      <c r="E68">
        <v>0</v>
      </c>
      <c r="G68" s="4" t="str">
        <f>IFERROR(INDEX('2b. Dataset in R'!$H:$H,MATCH($A68,'2b. Dataset in R'!$A:$A,0)),PROPER($B68))</f>
        <v>Integer</v>
      </c>
    </row>
    <row r="69" spans="1:7" x14ac:dyDescent="0.3">
      <c r="A69" t="s">
        <v>982</v>
      </c>
      <c r="B69" t="s">
        <v>277</v>
      </c>
      <c r="C69" t="s">
        <v>982</v>
      </c>
      <c r="D69">
        <v>0</v>
      </c>
      <c r="E69">
        <v>0</v>
      </c>
      <c r="F69" s="4" t="s">
        <v>87</v>
      </c>
      <c r="G69" s="4" t="str">
        <f>IFERROR(INDEX('2b. Dataset in R'!$H:$H,MATCH($A69,'2b. Dataset in R'!$A:$A,0)),PROPER($B69))</f>
        <v>Integer</v>
      </c>
    </row>
    <row r="70" spans="1:7" x14ac:dyDescent="0.3">
      <c r="A70" t="s">
        <v>983</v>
      </c>
      <c r="B70" t="s">
        <v>277</v>
      </c>
      <c r="C70" t="s">
        <v>983</v>
      </c>
      <c r="D70">
        <v>0</v>
      </c>
      <c r="E70">
        <v>0</v>
      </c>
      <c r="F70" s="4" t="s">
        <v>87</v>
      </c>
      <c r="G70" s="4" t="str">
        <f>IFERROR(INDEX('2b. Dataset in R'!$H:$H,MATCH($A70,'2b. Dataset in R'!$A:$A,0)),PROPER($B70))</f>
        <v>Integer</v>
      </c>
    </row>
    <row r="71" spans="1:7" x14ac:dyDescent="0.3">
      <c r="A71" t="s">
        <v>407</v>
      </c>
      <c r="B71" t="s">
        <v>276</v>
      </c>
      <c r="C71" t="s">
        <v>407</v>
      </c>
      <c r="D71">
        <v>0</v>
      </c>
      <c r="E71">
        <v>0</v>
      </c>
      <c r="G71" s="4" t="str">
        <f>IFERROR(INDEX('2b. Dataset in R'!$H:$H,MATCH($A71,'2b. Dataset in R'!$A:$A,0)),PROPER($B71))</f>
        <v>Character</v>
      </c>
    </row>
    <row r="72" spans="1:7" x14ac:dyDescent="0.3">
      <c r="A72" t="s">
        <v>984</v>
      </c>
      <c r="B72" t="s">
        <v>277</v>
      </c>
      <c r="C72" t="s">
        <v>984</v>
      </c>
      <c r="D72">
        <v>0</v>
      </c>
      <c r="E72">
        <v>0</v>
      </c>
      <c r="F72" s="4" t="s">
        <v>87</v>
      </c>
      <c r="G72" s="4" t="str">
        <f>IFERROR(INDEX('2b. Dataset in R'!$H:$H,MATCH($A72,'2b. Dataset in R'!$A:$A,0)),PROPER($B72))</f>
        <v>Integer</v>
      </c>
    </row>
    <row r="73" spans="1:7" x14ac:dyDescent="0.3">
      <c r="A73" t="s">
        <v>985</v>
      </c>
      <c r="B73" t="s">
        <v>277</v>
      </c>
      <c r="C73" t="s">
        <v>985</v>
      </c>
      <c r="D73">
        <v>0</v>
      </c>
      <c r="E73">
        <v>0</v>
      </c>
      <c r="G73" s="4" t="str">
        <f>IFERROR(INDEX('2b. Dataset in R'!$H:$H,MATCH($A73,'2b. Dataset in R'!$A:$A,0)),PROPER($B73))</f>
        <v>Integer</v>
      </c>
    </row>
    <row r="74" spans="1:7" x14ac:dyDescent="0.3">
      <c r="A74" t="s">
        <v>986</v>
      </c>
      <c r="B74" t="s">
        <v>277</v>
      </c>
      <c r="C74" t="s">
        <v>986</v>
      </c>
      <c r="D74">
        <v>0</v>
      </c>
      <c r="E74">
        <v>0</v>
      </c>
      <c r="F74" s="4" t="s">
        <v>87</v>
      </c>
      <c r="G74" s="4" t="str">
        <f>IFERROR(INDEX('2b. Dataset in R'!$H:$H,MATCH($A74,'2b. Dataset in R'!$A:$A,0)),PROPER($B74))</f>
        <v>Integer</v>
      </c>
    </row>
    <row r="75" spans="1:7" x14ac:dyDescent="0.3">
      <c r="A75" t="s">
        <v>408</v>
      </c>
      <c r="B75" t="s">
        <v>263</v>
      </c>
      <c r="C75" t="s">
        <v>408</v>
      </c>
      <c r="D75">
        <v>0</v>
      </c>
      <c r="E75">
        <v>0</v>
      </c>
      <c r="F75" s="4" t="s">
        <v>87</v>
      </c>
      <c r="G75" s="4" t="str">
        <f>IFERROR(INDEX('2b. Dataset in R'!$H:$H,MATCH($A75,'2b. Dataset in R'!$A:$A,0)),PROPER($B75))</f>
        <v>Numeric</v>
      </c>
    </row>
    <row r="76" spans="1:7" x14ac:dyDescent="0.3">
      <c r="A76" t="s">
        <v>416</v>
      </c>
      <c r="B76" t="s">
        <v>276</v>
      </c>
      <c r="C76" t="s">
        <v>416</v>
      </c>
      <c r="D76">
        <v>0</v>
      </c>
      <c r="E76">
        <v>0</v>
      </c>
      <c r="G76" s="4" t="str">
        <f>IFERROR(INDEX('2b. Dataset in R'!$H:$H,MATCH($A76,'2b. Dataset in R'!$A:$A,0)),PROPER($B76))</f>
        <v>Character</v>
      </c>
    </row>
    <row r="77" spans="1:7" x14ac:dyDescent="0.3">
      <c r="A77" t="s">
        <v>987</v>
      </c>
      <c r="B77" t="s">
        <v>277</v>
      </c>
      <c r="C77" t="s">
        <v>987</v>
      </c>
      <c r="D77">
        <v>0</v>
      </c>
      <c r="E77">
        <v>0</v>
      </c>
      <c r="F77" s="4" t="s">
        <v>87</v>
      </c>
      <c r="G77" s="4" t="str">
        <f>IFERROR(INDEX('2b. Dataset in R'!$H:$H,MATCH($A77,'2b. Dataset in R'!$A:$A,0)),PROPER($B77))</f>
        <v>Integer</v>
      </c>
    </row>
    <row r="78" spans="1:7" x14ac:dyDescent="0.3">
      <c r="A78" t="s">
        <v>988</v>
      </c>
      <c r="B78" t="s">
        <v>277</v>
      </c>
      <c r="C78" t="s">
        <v>988</v>
      </c>
      <c r="D78">
        <v>0</v>
      </c>
      <c r="E78">
        <v>0</v>
      </c>
      <c r="F78" s="4" t="s">
        <v>87</v>
      </c>
      <c r="G78" s="4" t="str">
        <f>IFERROR(INDEX('2b. Dataset in R'!$H:$H,MATCH($A78,'2b. Dataset in R'!$A:$A,0)),PROPER($B78))</f>
        <v>Integer</v>
      </c>
    </row>
    <row r="79" spans="1:7" x14ac:dyDescent="0.3">
      <c r="A79" t="s">
        <v>989</v>
      </c>
      <c r="B79" t="s">
        <v>277</v>
      </c>
      <c r="C79" t="s">
        <v>989</v>
      </c>
      <c r="D79">
        <v>0</v>
      </c>
      <c r="E79">
        <v>0</v>
      </c>
      <c r="F79" s="4" t="s">
        <v>87</v>
      </c>
      <c r="G79" s="4" t="str">
        <f>IFERROR(INDEX('2b. Dataset in R'!$H:$H,MATCH($A79,'2b. Dataset in R'!$A:$A,0)),PROPER($B79))</f>
        <v>Integer</v>
      </c>
    </row>
    <row r="80" spans="1:7" x14ac:dyDescent="0.3">
      <c r="A80" t="s">
        <v>990</v>
      </c>
      <c r="B80" t="s">
        <v>277</v>
      </c>
      <c r="C80" t="s">
        <v>990</v>
      </c>
      <c r="D80">
        <v>0</v>
      </c>
      <c r="E80">
        <v>0</v>
      </c>
      <c r="G80" s="4" t="str">
        <f>IFERROR(INDEX('2b. Dataset in R'!$H:$H,MATCH($A80,'2b. Dataset in R'!$A:$A,0)),PROPER($B80))</f>
        <v>Integer</v>
      </c>
    </row>
    <row r="81" spans="1:7" x14ac:dyDescent="0.3">
      <c r="A81" t="s">
        <v>991</v>
      </c>
      <c r="B81" t="s">
        <v>277</v>
      </c>
      <c r="C81" t="s">
        <v>991</v>
      </c>
      <c r="D81">
        <v>0</v>
      </c>
      <c r="E81">
        <v>0</v>
      </c>
      <c r="F81" s="4" t="s">
        <v>87</v>
      </c>
      <c r="G81" s="4" t="str">
        <f>IFERROR(INDEX('2b. Dataset in R'!$H:$H,MATCH($A81,'2b. Dataset in R'!$A:$A,0)),PROPER($B81))</f>
        <v>Integer</v>
      </c>
    </row>
    <row r="82" spans="1:7" x14ac:dyDescent="0.3">
      <c r="A82" t="s">
        <v>425</v>
      </c>
      <c r="B82" t="s">
        <v>276</v>
      </c>
      <c r="C82" t="s">
        <v>425</v>
      </c>
      <c r="D82">
        <v>0</v>
      </c>
      <c r="E82">
        <v>0</v>
      </c>
      <c r="G82" s="4" t="str">
        <f>IFERROR(INDEX('2b. Dataset in R'!$H:$H,MATCH($A82,'2b. Dataset in R'!$A:$A,0)),PROPER($B82))</f>
        <v>Character</v>
      </c>
    </row>
    <row r="83" spans="1:7" x14ac:dyDescent="0.3">
      <c r="A83" t="s">
        <v>992</v>
      </c>
      <c r="B83" t="s">
        <v>277</v>
      </c>
      <c r="C83" t="s">
        <v>992</v>
      </c>
      <c r="D83">
        <v>0</v>
      </c>
      <c r="E83">
        <v>0</v>
      </c>
      <c r="F83" s="4" t="s">
        <v>87</v>
      </c>
      <c r="G83" s="4" t="str">
        <f>IFERROR(INDEX('2b. Dataset in R'!$H:$H,MATCH($A83,'2b. Dataset in R'!$A:$A,0)),PROPER($B83))</f>
        <v>Integer</v>
      </c>
    </row>
    <row r="84" spans="1:7" x14ac:dyDescent="0.3">
      <c r="A84" t="s">
        <v>993</v>
      </c>
      <c r="B84" t="s">
        <v>277</v>
      </c>
      <c r="C84" t="s">
        <v>993</v>
      </c>
      <c r="D84">
        <v>0</v>
      </c>
      <c r="E84">
        <v>0</v>
      </c>
      <c r="G84" s="4" t="str">
        <f>IFERROR(INDEX('2b. Dataset in R'!$H:$H,MATCH($A84,'2b. Dataset in R'!$A:$A,0)),PROPER($B84))</f>
        <v>Integer</v>
      </c>
    </row>
    <row r="85" spans="1:7" x14ac:dyDescent="0.3">
      <c r="A85" t="s">
        <v>994</v>
      </c>
      <c r="B85" t="s">
        <v>277</v>
      </c>
      <c r="C85" t="s">
        <v>994</v>
      </c>
      <c r="D85">
        <v>0</v>
      </c>
      <c r="E85">
        <v>0</v>
      </c>
      <c r="F85" s="4" t="s">
        <v>87</v>
      </c>
      <c r="G85" s="4" t="str">
        <f>IFERROR(INDEX('2b. Dataset in R'!$H:$H,MATCH($A85,'2b. Dataset in R'!$A:$A,0)),PROPER($B85))</f>
        <v>Integer</v>
      </c>
    </row>
    <row r="86" spans="1:7" x14ac:dyDescent="0.3">
      <c r="A86" t="s">
        <v>426</v>
      </c>
      <c r="B86" t="s">
        <v>263</v>
      </c>
      <c r="C86" t="s">
        <v>426</v>
      </c>
      <c r="D86">
        <v>0</v>
      </c>
      <c r="E86">
        <v>0</v>
      </c>
      <c r="F86" s="4" t="s">
        <v>87</v>
      </c>
      <c r="G86" s="4" t="str">
        <f>IFERROR(INDEX('2b. Dataset in R'!$H:$H,MATCH($A86,'2b. Dataset in R'!$A:$A,0)),PROPER($B86))</f>
        <v>Numeric</v>
      </c>
    </row>
    <row r="87" spans="1:7" x14ac:dyDescent="0.3">
      <c r="A87" t="s">
        <v>434</v>
      </c>
      <c r="B87" t="s">
        <v>276</v>
      </c>
      <c r="C87" t="s">
        <v>434</v>
      </c>
      <c r="D87">
        <v>0</v>
      </c>
      <c r="E87">
        <v>0</v>
      </c>
      <c r="G87" s="4" t="str">
        <f>IFERROR(INDEX('2b. Dataset in R'!$H:$H,MATCH($A87,'2b. Dataset in R'!$A:$A,0)),PROPER($B87))</f>
        <v>Character</v>
      </c>
    </row>
    <row r="88" spans="1:7" x14ac:dyDescent="0.3">
      <c r="A88" t="s">
        <v>995</v>
      </c>
      <c r="B88" t="s">
        <v>277</v>
      </c>
      <c r="C88" t="s">
        <v>995</v>
      </c>
      <c r="D88">
        <v>0</v>
      </c>
      <c r="E88">
        <v>0</v>
      </c>
      <c r="F88" s="4" t="s">
        <v>87</v>
      </c>
      <c r="G88" s="4" t="str">
        <f>IFERROR(INDEX('2b. Dataset in R'!$H:$H,MATCH($A88,'2b. Dataset in R'!$A:$A,0)),PROPER($B88))</f>
        <v>Integer</v>
      </c>
    </row>
    <row r="89" spans="1:7" x14ac:dyDescent="0.3">
      <c r="A89" t="s">
        <v>996</v>
      </c>
      <c r="B89" t="s">
        <v>277</v>
      </c>
      <c r="C89" t="s">
        <v>996</v>
      </c>
      <c r="D89">
        <v>0</v>
      </c>
      <c r="E89">
        <v>0</v>
      </c>
      <c r="F89" s="4" t="s">
        <v>87</v>
      </c>
      <c r="G89" s="4" t="str">
        <f>IFERROR(INDEX('2b. Dataset in R'!$H:$H,MATCH($A89,'2b. Dataset in R'!$A:$A,0)),PROPER($B89))</f>
        <v>Integer</v>
      </c>
    </row>
    <row r="90" spans="1:7" x14ac:dyDescent="0.3">
      <c r="A90" t="s">
        <v>997</v>
      </c>
      <c r="B90" t="s">
        <v>277</v>
      </c>
      <c r="C90" t="s">
        <v>997</v>
      </c>
      <c r="D90">
        <v>0</v>
      </c>
      <c r="E90">
        <v>0</v>
      </c>
      <c r="F90" s="4" t="s">
        <v>87</v>
      </c>
      <c r="G90" s="4" t="str">
        <f>IFERROR(INDEX('2b. Dataset in R'!$H:$H,MATCH($A90,'2b. Dataset in R'!$A:$A,0)),PROPER($B90))</f>
        <v>Integer</v>
      </c>
    </row>
    <row r="91" spans="1:7" x14ac:dyDescent="0.3">
      <c r="A91" t="s">
        <v>998</v>
      </c>
      <c r="B91" t="s">
        <v>277</v>
      </c>
      <c r="C91" t="s">
        <v>998</v>
      </c>
      <c r="D91">
        <v>0</v>
      </c>
      <c r="E91">
        <v>0</v>
      </c>
      <c r="G91" s="4" t="str">
        <f>IFERROR(INDEX('2b. Dataset in R'!$H:$H,MATCH($A91,'2b. Dataset in R'!$A:$A,0)),PROPER($B91))</f>
        <v>Integer</v>
      </c>
    </row>
    <row r="92" spans="1:7" x14ac:dyDescent="0.3">
      <c r="A92" t="s">
        <v>999</v>
      </c>
      <c r="B92" t="s">
        <v>277</v>
      </c>
      <c r="C92" t="s">
        <v>999</v>
      </c>
      <c r="D92">
        <v>0</v>
      </c>
      <c r="E92">
        <v>0</v>
      </c>
      <c r="F92" s="4" t="s">
        <v>87</v>
      </c>
      <c r="G92" s="4" t="str">
        <f>IFERROR(INDEX('2b. Dataset in R'!$H:$H,MATCH($A92,'2b. Dataset in R'!$A:$A,0)),PROPER($B92))</f>
        <v>Integer</v>
      </c>
    </row>
    <row r="93" spans="1:7" x14ac:dyDescent="0.3">
      <c r="A93" t="s">
        <v>1000</v>
      </c>
      <c r="B93" t="s">
        <v>277</v>
      </c>
      <c r="C93" t="s">
        <v>1000</v>
      </c>
      <c r="D93">
        <v>0</v>
      </c>
      <c r="E93">
        <v>0</v>
      </c>
      <c r="F93" s="4" t="s">
        <v>87</v>
      </c>
      <c r="G93" s="4" t="str">
        <f>IFERROR(INDEX('2b. Dataset in R'!$H:$H,MATCH($A93,'2b. Dataset in R'!$A:$A,0)),PROPER($B93))</f>
        <v>Integer</v>
      </c>
    </row>
    <row r="94" spans="1:7" x14ac:dyDescent="0.3">
      <c r="A94" t="s">
        <v>444</v>
      </c>
      <c r="B94" t="s">
        <v>263</v>
      </c>
      <c r="C94" t="s">
        <v>444</v>
      </c>
      <c r="D94">
        <v>0</v>
      </c>
      <c r="E94">
        <v>0</v>
      </c>
      <c r="F94" s="4" t="s">
        <v>87</v>
      </c>
      <c r="G94" s="4" t="str">
        <f>IFERROR(INDEX('2b. Dataset in R'!$H:$H,MATCH($A94,'2b. Dataset in R'!$A:$A,0)),PROPER($B94))</f>
        <v>Numeric</v>
      </c>
    </row>
    <row r="95" spans="1:7" x14ac:dyDescent="0.3">
      <c r="A95" t="s">
        <v>445</v>
      </c>
      <c r="B95" t="s">
        <v>263</v>
      </c>
      <c r="C95" t="s">
        <v>445</v>
      </c>
      <c r="D95">
        <v>0</v>
      </c>
      <c r="E95">
        <v>0</v>
      </c>
      <c r="F95" s="4" t="s">
        <v>87</v>
      </c>
      <c r="G95" s="4" t="str">
        <f>IFERROR(INDEX('2b. Dataset in R'!$H:$H,MATCH($A95,'2b. Dataset in R'!$A:$A,0)),PROPER($B95))</f>
        <v>Numeric</v>
      </c>
    </row>
    <row r="96" spans="1:7" x14ac:dyDescent="0.3">
      <c r="A96" t="s">
        <v>446</v>
      </c>
      <c r="B96" t="s">
        <v>276</v>
      </c>
      <c r="C96" t="s">
        <v>446</v>
      </c>
      <c r="D96">
        <v>0</v>
      </c>
      <c r="E96">
        <v>0</v>
      </c>
      <c r="G96" s="4" t="str">
        <f>IFERROR(INDEX('2b. Dataset in R'!$H:$H,MATCH($A96,'2b. Dataset in R'!$A:$A,0)),PROPER($B96))</f>
        <v>Character</v>
      </c>
    </row>
    <row r="97" spans="1:7" x14ac:dyDescent="0.3">
      <c r="A97" t="s">
        <v>1001</v>
      </c>
      <c r="B97" t="s">
        <v>277</v>
      </c>
      <c r="C97" t="s">
        <v>1001</v>
      </c>
      <c r="D97">
        <v>0</v>
      </c>
      <c r="E97">
        <v>0</v>
      </c>
      <c r="F97" s="4" t="s">
        <v>87</v>
      </c>
      <c r="G97" s="4" t="str">
        <f>IFERROR(INDEX('2b. Dataset in R'!$H:$H,MATCH($A97,'2b. Dataset in R'!$A:$A,0)),PROPER($B97))</f>
        <v>Integer</v>
      </c>
    </row>
    <row r="98" spans="1:7" x14ac:dyDescent="0.3">
      <c r="A98" t="s">
        <v>1002</v>
      </c>
      <c r="B98" t="s">
        <v>277</v>
      </c>
      <c r="C98" t="s">
        <v>1002</v>
      </c>
      <c r="D98">
        <v>0</v>
      </c>
      <c r="E98">
        <v>0</v>
      </c>
      <c r="F98" s="4" t="s">
        <v>87</v>
      </c>
      <c r="G98" s="4" t="str">
        <f>IFERROR(INDEX('2b. Dataset in R'!$H:$H,MATCH($A98,'2b. Dataset in R'!$A:$A,0)),PROPER($B98))</f>
        <v>Integer</v>
      </c>
    </row>
    <row r="99" spans="1:7" x14ac:dyDescent="0.3">
      <c r="A99" t="s">
        <v>1003</v>
      </c>
      <c r="B99" t="s">
        <v>277</v>
      </c>
      <c r="C99" t="s">
        <v>1003</v>
      </c>
      <c r="D99">
        <v>0</v>
      </c>
      <c r="E99">
        <v>0</v>
      </c>
      <c r="G99" s="4" t="str">
        <f>IFERROR(INDEX('2b. Dataset in R'!$H:$H,MATCH($A99,'2b. Dataset in R'!$A:$A,0)),PROPER($B99))</f>
        <v>Integer</v>
      </c>
    </row>
    <row r="100" spans="1:7" x14ac:dyDescent="0.3">
      <c r="A100" t="s">
        <v>456</v>
      </c>
      <c r="B100" t="s">
        <v>276</v>
      </c>
      <c r="C100" t="s">
        <v>456</v>
      </c>
      <c r="D100">
        <v>0</v>
      </c>
      <c r="E100">
        <v>0</v>
      </c>
      <c r="G100" s="4" t="str">
        <f>IFERROR(INDEX('2b. Dataset in R'!$H:$H,MATCH($A100,'2b. Dataset in R'!$A:$A,0)),PROPER($B100))</f>
        <v>Character</v>
      </c>
    </row>
    <row r="101" spans="1:7" x14ac:dyDescent="0.3">
      <c r="A101" t="s">
        <v>1004</v>
      </c>
      <c r="B101" t="s">
        <v>277</v>
      </c>
      <c r="C101" t="s">
        <v>1004</v>
      </c>
      <c r="D101">
        <v>0</v>
      </c>
      <c r="E101">
        <v>0</v>
      </c>
      <c r="F101" s="4" t="s">
        <v>87</v>
      </c>
      <c r="G101" s="4" t="str">
        <f>IFERROR(INDEX('2b. Dataset in R'!$H:$H,MATCH($A101,'2b. Dataset in R'!$A:$A,0)),PROPER($B101))</f>
        <v>Integer</v>
      </c>
    </row>
    <row r="102" spans="1:7" x14ac:dyDescent="0.3">
      <c r="A102" t="s">
        <v>1005</v>
      </c>
      <c r="B102" t="s">
        <v>277</v>
      </c>
      <c r="C102" t="s">
        <v>1005</v>
      </c>
      <c r="D102">
        <v>0</v>
      </c>
      <c r="E102">
        <v>0</v>
      </c>
      <c r="F102" s="4" t="s">
        <v>87</v>
      </c>
      <c r="G102" s="4" t="str">
        <f>IFERROR(INDEX('2b. Dataset in R'!$H:$H,MATCH($A102,'2b. Dataset in R'!$A:$A,0)),PROPER($B102))</f>
        <v>Integer</v>
      </c>
    </row>
    <row r="103" spans="1:7" x14ac:dyDescent="0.3">
      <c r="A103" t="s">
        <v>457</v>
      </c>
      <c r="B103" t="s">
        <v>276</v>
      </c>
      <c r="C103" t="s">
        <v>457</v>
      </c>
      <c r="D103">
        <v>0</v>
      </c>
      <c r="E103">
        <v>0</v>
      </c>
      <c r="G103" s="4" t="str">
        <f>IFERROR(INDEX('2b. Dataset in R'!$H:$H,MATCH($A103,'2b. Dataset in R'!$A:$A,0)),PROPER($B103))</f>
        <v>Character</v>
      </c>
    </row>
    <row r="104" spans="1:7" x14ac:dyDescent="0.3">
      <c r="A104" t="s">
        <v>1006</v>
      </c>
      <c r="B104" t="s">
        <v>277</v>
      </c>
      <c r="C104" t="s">
        <v>1006</v>
      </c>
      <c r="D104">
        <v>0</v>
      </c>
      <c r="E104">
        <v>0</v>
      </c>
      <c r="F104" s="4" t="s">
        <v>87</v>
      </c>
      <c r="G104" s="4" t="str">
        <f>IFERROR(INDEX('2b. Dataset in R'!$H:$H,MATCH($A104,'2b. Dataset in R'!$A:$A,0)),PROPER($B104))</f>
        <v>Integer</v>
      </c>
    </row>
    <row r="105" spans="1:7" x14ac:dyDescent="0.3">
      <c r="A105" t="s">
        <v>1007</v>
      </c>
      <c r="B105" t="s">
        <v>277</v>
      </c>
      <c r="C105" t="s">
        <v>1007</v>
      </c>
      <c r="D105">
        <v>0</v>
      </c>
      <c r="E105">
        <v>0</v>
      </c>
      <c r="F105" s="4" t="s">
        <v>87</v>
      </c>
      <c r="G105" s="4" t="str">
        <f>IFERROR(INDEX('2b. Dataset in R'!$H:$H,MATCH($A105,'2b. Dataset in R'!$A:$A,0)),PROPER($B105))</f>
        <v>Integer</v>
      </c>
    </row>
    <row r="106" spans="1:7" x14ac:dyDescent="0.3">
      <c r="A106" t="s">
        <v>1008</v>
      </c>
      <c r="B106" t="s">
        <v>277</v>
      </c>
      <c r="C106" t="s">
        <v>1008</v>
      </c>
      <c r="D106">
        <v>0</v>
      </c>
      <c r="E106">
        <v>0</v>
      </c>
      <c r="F106" s="4" t="s">
        <v>87</v>
      </c>
      <c r="G106" s="4" t="str">
        <f>IFERROR(INDEX('2b. Dataset in R'!$H:$H,MATCH($A106,'2b. Dataset in R'!$A:$A,0)),PROPER($B106))</f>
        <v>Integer</v>
      </c>
    </row>
    <row r="107" spans="1:7" x14ac:dyDescent="0.3">
      <c r="A107" t="s">
        <v>1009</v>
      </c>
      <c r="B107" t="s">
        <v>277</v>
      </c>
      <c r="C107" t="s">
        <v>1009</v>
      </c>
      <c r="D107">
        <v>0</v>
      </c>
      <c r="E107">
        <v>0</v>
      </c>
      <c r="F107" s="4" t="s">
        <v>87</v>
      </c>
      <c r="G107" s="4" t="str">
        <f>IFERROR(INDEX('2b. Dataset in R'!$H:$H,MATCH($A107,'2b. Dataset in R'!$A:$A,0)),PROPER($B107))</f>
        <v>Integer</v>
      </c>
    </row>
    <row r="108" spans="1:7" x14ac:dyDescent="0.3">
      <c r="A108" t="s">
        <v>459</v>
      </c>
      <c r="B108" t="s">
        <v>263</v>
      </c>
      <c r="C108" t="s">
        <v>459</v>
      </c>
      <c r="D108">
        <v>0</v>
      </c>
      <c r="E108">
        <v>0</v>
      </c>
      <c r="F108" s="4" t="s">
        <v>87</v>
      </c>
      <c r="G108" s="4" t="str">
        <f>IFERROR(INDEX('2b. Dataset in R'!$H:$H,MATCH($A108,'2b. Dataset in R'!$A:$A,0)),PROPER($B108))</f>
        <v>Numeric</v>
      </c>
    </row>
    <row r="109" spans="1:7" x14ac:dyDescent="0.3">
      <c r="A109" t="s">
        <v>461</v>
      </c>
      <c r="B109" t="s">
        <v>263</v>
      </c>
      <c r="C109" t="s">
        <v>461</v>
      </c>
      <c r="D109">
        <v>0</v>
      </c>
      <c r="E109">
        <v>0</v>
      </c>
      <c r="F109" s="4" t="s">
        <v>87</v>
      </c>
      <c r="G109" s="4" t="str">
        <f>IFERROR(INDEX('2b. Dataset in R'!$H:$H,MATCH($A109,'2b. Dataset in R'!$A:$A,0)),PROPER($B109))</f>
        <v>Numeric</v>
      </c>
    </row>
    <row r="110" spans="1:7" x14ac:dyDescent="0.3">
      <c r="A110" t="s">
        <v>463</v>
      </c>
      <c r="B110" t="s">
        <v>263</v>
      </c>
      <c r="C110" t="s">
        <v>463</v>
      </c>
      <c r="D110">
        <v>0</v>
      </c>
      <c r="E110">
        <v>0</v>
      </c>
      <c r="F110" s="4" t="s">
        <v>87</v>
      </c>
      <c r="G110" s="4" t="str">
        <f>IFERROR(INDEX('2b. Dataset in R'!$H:$H,MATCH($A110,'2b. Dataset in R'!$A:$A,0)),PROPER($B110))</f>
        <v>Numeric</v>
      </c>
    </row>
    <row r="111" spans="1:7" x14ac:dyDescent="0.3">
      <c r="A111" t="s">
        <v>464</v>
      </c>
      <c r="B111" t="s">
        <v>276</v>
      </c>
      <c r="C111" t="s">
        <v>464</v>
      </c>
      <c r="D111">
        <v>0</v>
      </c>
      <c r="E111">
        <v>0</v>
      </c>
      <c r="G111" s="4" t="str">
        <f>IFERROR(INDEX('2b. Dataset in R'!$H:$H,MATCH($A111,'2b. Dataset in R'!$A:$A,0)),PROPER($B111))</f>
        <v>Character</v>
      </c>
    </row>
    <row r="112" spans="1:7" x14ac:dyDescent="0.3">
      <c r="A112" t="s">
        <v>1010</v>
      </c>
      <c r="B112" t="s">
        <v>277</v>
      </c>
      <c r="C112" t="s">
        <v>1010</v>
      </c>
      <c r="D112">
        <v>0</v>
      </c>
      <c r="E112">
        <v>0</v>
      </c>
      <c r="F112" s="4" t="s">
        <v>87</v>
      </c>
      <c r="G112" s="4" t="str">
        <f>IFERROR(INDEX('2b. Dataset in R'!$H:$H,MATCH($A112,'2b. Dataset in R'!$A:$A,0)),PROPER($B112))</f>
        <v>Integer</v>
      </c>
    </row>
    <row r="113" spans="1:7" x14ac:dyDescent="0.3">
      <c r="A113" t="s">
        <v>1011</v>
      </c>
      <c r="B113" t="s">
        <v>277</v>
      </c>
      <c r="C113" t="s">
        <v>1011</v>
      </c>
      <c r="D113">
        <v>0</v>
      </c>
      <c r="E113">
        <v>0</v>
      </c>
      <c r="F113" s="4" t="s">
        <v>87</v>
      </c>
      <c r="G113" s="4" t="str">
        <f>IFERROR(INDEX('2b. Dataset in R'!$H:$H,MATCH($A113,'2b. Dataset in R'!$A:$A,0)),PROPER($B113))</f>
        <v>Integer</v>
      </c>
    </row>
    <row r="114" spans="1:7" x14ac:dyDescent="0.3">
      <c r="A114" t="s">
        <v>1012</v>
      </c>
      <c r="B114" t="s">
        <v>277</v>
      </c>
      <c r="C114" t="s">
        <v>1012</v>
      </c>
      <c r="D114">
        <v>0</v>
      </c>
      <c r="E114">
        <v>0</v>
      </c>
      <c r="F114" s="4" t="s">
        <v>87</v>
      </c>
      <c r="G114" s="4" t="str">
        <f>IFERROR(INDEX('2b. Dataset in R'!$H:$H,MATCH($A114,'2b. Dataset in R'!$A:$A,0)),PROPER($B114))</f>
        <v>Integer</v>
      </c>
    </row>
    <row r="115" spans="1:7" x14ac:dyDescent="0.3">
      <c r="A115" t="s">
        <v>1013</v>
      </c>
      <c r="B115" t="s">
        <v>277</v>
      </c>
      <c r="C115" t="s">
        <v>1013</v>
      </c>
      <c r="D115">
        <v>0</v>
      </c>
      <c r="E115">
        <v>0</v>
      </c>
      <c r="F115" s="4" t="s">
        <v>87</v>
      </c>
      <c r="G115" s="4" t="str">
        <f>IFERROR(INDEX('2b. Dataset in R'!$H:$H,MATCH($A115,'2b. Dataset in R'!$A:$A,0)),PROPER($B115))</f>
        <v>Integer</v>
      </c>
    </row>
    <row r="116" spans="1:7" x14ac:dyDescent="0.3">
      <c r="A116" t="s">
        <v>1014</v>
      </c>
      <c r="B116" t="s">
        <v>277</v>
      </c>
      <c r="C116" t="s">
        <v>1014</v>
      </c>
      <c r="D116">
        <v>0</v>
      </c>
      <c r="E116">
        <v>0</v>
      </c>
      <c r="F116" s="4" t="s">
        <v>87</v>
      </c>
      <c r="G116" s="4" t="str">
        <f>IFERROR(INDEX('2b. Dataset in R'!$H:$H,MATCH($A116,'2b. Dataset in R'!$A:$A,0)),PROPER($B116))</f>
        <v>Integer</v>
      </c>
    </row>
    <row r="117" spans="1:7" x14ac:dyDescent="0.3">
      <c r="A117" t="s">
        <v>465</v>
      </c>
      <c r="B117" t="s">
        <v>276</v>
      </c>
      <c r="C117" t="s">
        <v>465</v>
      </c>
      <c r="D117">
        <v>0</v>
      </c>
      <c r="E117">
        <v>0</v>
      </c>
      <c r="G117" s="4" t="str">
        <f>IFERROR(INDEX('2b. Dataset in R'!$H:$H,MATCH($A117,'2b. Dataset in R'!$A:$A,0)),PROPER($B117))</f>
        <v>Character</v>
      </c>
    </row>
    <row r="118" spans="1:7" x14ac:dyDescent="0.3">
      <c r="A118" t="s">
        <v>1015</v>
      </c>
      <c r="B118" t="s">
        <v>277</v>
      </c>
      <c r="C118" t="s">
        <v>1015</v>
      </c>
      <c r="D118">
        <v>0</v>
      </c>
      <c r="E118">
        <v>0</v>
      </c>
      <c r="F118" s="4" t="s">
        <v>87</v>
      </c>
      <c r="G118" s="4" t="str">
        <f>IFERROR(INDEX('2b. Dataset in R'!$H:$H,MATCH($A118,'2b. Dataset in R'!$A:$A,0)),PROPER($B118))</f>
        <v>Integer</v>
      </c>
    </row>
    <row r="119" spans="1:7" x14ac:dyDescent="0.3">
      <c r="A119" t="s">
        <v>1016</v>
      </c>
      <c r="B119" t="s">
        <v>277</v>
      </c>
      <c r="C119" t="s">
        <v>1016</v>
      </c>
      <c r="D119">
        <v>0</v>
      </c>
      <c r="E119">
        <v>0</v>
      </c>
      <c r="F119" s="4" t="s">
        <v>87</v>
      </c>
      <c r="G119" s="4" t="str">
        <f>IFERROR(INDEX('2b. Dataset in R'!$H:$H,MATCH($A119,'2b. Dataset in R'!$A:$A,0)),PROPER($B119))</f>
        <v>Integer</v>
      </c>
    </row>
    <row r="120" spans="1:7" x14ac:dyDescent="0.3">
      <c r="A120" t="s">
        <v>1017</v>
      </c>
      <c r="B120" t="s">
        <v>277</v>
      </c>
      <c r="C120" t="s">
        <v>1017</v>
      </c>
      <c r="D120">
        <v>0</v>
      </c>
      <c r="E120">
        <v>0</v>
      </c>
      <c r="F120" s="4" t="s">
        <v>87</v>
      </c>
      <c r="G120" s="4" t="str">
        <f>IFERROR(INDEX('2b. Dataset in R'!$H:$H,MATCH($A120,'2b. Dataset in R'!$A:$A,0)),PROPER($B120))</f>
        <v>Integer</v>
      </c>
    </row>
    <row r="121" spans="1:7" x14ac:dyDescent="0.3">
      <c r="A121" t="s">
        <v>1018</v>
      </c>
      <c r="B121" t="s">
        <v>277</v>
      </c>
      <c r="C121" t="s">
        <v>1018</v>
      </c>
      <c r="D121">
        <v>0</v>
      </c>
      <c r="E121">
        <v>0</v>
      </c>
      <c r="F121" s="4" t="s">
        <v>87</v>
      </c>
      <c r="G121" s="4" t="str">
        <f>IFERROR(INDEX('2b. Dataset in R'!$H:$H,MATCH($A121,'2b. Dataset in R'!$A:$A,0)),PROPER($B121))</f>
        <v>Integer</v>
      </c>
    </row>
    <row r="122" spans="1:7" x14ac:dyDescent="0.3">
      <c r="A122" t="s">
        <v>311</v>
      </c>
      <c r="B122" t="s">
        <v>276</v>
      </c>
      <c r="C122" t="s">
        <v>311</v>
      </c>
      <c r="D122">
        <v>0</v>
      </c>
      <c r="E122">
        <v>0</v>
      </c>
      <c r="G122" s="4" t="str">
        <f>IFERROR(INDEX('2b. Dataset in R'!$H:$H,MATCH($A122,'2b. Dataset in R'!$A:$A,0)),PROPER($B122))</f>
        <v>Character</v>
      </c>
    </row>
    <row r="123" spans="1:7" x14ac:dyDescent="0.3">
      <c r="A123" t="s">
        <v>1019</v>
      </c>
      <c r="B123" t="s">
        <v>277</v>
      </c>
      <c r="C123" t="s">
        <v>1019</v>
      </c>
      <c r="D123">
        <v>0</v>
      </c>
      <c r="E123">
        <v>0</v>
      </c>
      <c r="F123" s="4" t="s">
        <v>87</v>
      </c>
      <c r="G123" s="4" t="str">
        <f>IFERROR(INDEX('2b. Dataset in R'!$H:$H,MATCH($A123,'2b. Dataset in R'!$A:$A,0)),PROPER($B123))</f>
        <v>Integer</v>
      </c>
    </row>
    <row r="124" spans="1:7" x14ac:dyDescent="0.3">
      <c r="A124" t="s">
        <v>1020</v>
      </c>
      <c r="B124" t="s">
        <v>277</v>
      </c>
      <c r="C124" t="s">
        <v>1020</v>
      </c>
      <c r="D124">
        <v>0</v>
      </c>
      <c r="E124">
        <v>0</v>
      </c>
      <c r="F124" s="4" t="s">
        <v>87</v>
      </c>
      <c r="G124" s="4" t="str">
        <f>IFERROR(INDEX('2b. Dataset in R'!$H:$H,MATCH($A124,'2b. Dataset in R'!$A:$A,0)),PROPER($B124))</f>
        <v>Integer</v>
      </c>
    </row>
    <row r="125" spans="1:7" x14ac:dyDescent="0.3">
      <c r="A125" t="s">
        <v>1021</v>
      </c>
      <c r="B125" t="s">
        <v>277</v>
      </c>
      <c r="C125" t="s">
        <v>1021</v>
      </c>
      <c r="D125">
        <v>0</v>
      </c>
      <c r="E125">
        <v>0</v>
      </c>
      <c r="F125" s="4" t="s">
        <v>87</v>
      </c>
      <c r="G125" s="4" t="str">
        <f>IFERROR(INDEX('2b. Dataset in R'!$H:$H,MATCH($A125,'2b. Dataset in R'!$A:$A,0)),PROPER($B125))</f>
        <v>Integer</v>
      </c>
    </row>
    <row r="126" spans="1:7" x14ac:dyDescent="0.3">
      <c r="A126" t="s">
        <v>1022</v>
      </c>
      <c r="B126" t="s">
        <v>277</v>
      </c>
      <c r="C126" t="s">
        <v>1022</v>
      </c>
      <c r="D126">
        <v>0</v>
      </c>
      <c r="E126">
        <v>0</v>
      </c>
      <c r="F126" s="4" t="s">
        <v>87</v>
      </c>
      <c r="G126" s="4" t="str">
        <f>IFERROR(INDEX('2b. Dataset in R'!$H:$H,MATCH($A126,'2b. Dataset in R'!$A:$A,0)),PROPER($B126))</f>
        <v>Integer</v>
      </c>
    </row>
    <row r="127" spans="1:7" x14ac:dyDescent="0.3">
      <c r="A127" t="s">
        <v>467</v>
      </c>
      <c r="B127" t="s">
        <v>263</v>
      </c>
      <c r="C127" t="s">
        <v>467</v>
      </c>
      <c r="D127">
        <v>0</v>
      </c>
      <c r="E127">
        <v>0</v>
      </c>
      <c r="F127" s="4" t="s">
        <v>87</v>
      </c>
      <c r="G127" s="4" t="str">
        <f>IFERROR(INDEX('2b. Dataset in R'!$H:$H,MATCH($A127,'2b. Dataset in R'!$A:$A,0)),PROPER($B127))</f>
        <v>Numeric</v>
      </c>
    </row>
    <row r="128" spans="1:7" x14ac:dyDescent="0.3">
      <c r="A128" t="s">
        <v>90</v>
      </c>
      <c r="B128" t="s">
        <v>263</v>
      </c>
      <c r="C128" t="s">
        <v>90</v>
      </c>
      <c r="D128">
        <v>0</v>
      </c>
      <c r="E128">
        <v>0</v>
      </c>
      <c r="F128" s="4" t="s">
        <v>87</v>
      </c>
      <c r="G128" s="4" t="str">
        <f>IFERROR(INDEX('2b. Dataset in R'!$H:$H,MATCH($A128,'2b. Dataset in R'!$A:$A,0)),PROPER($B128))</f>
        <v>Numeric</v>
      </c>
    </row>
    <row r="129" spans="1:7" x14ac:dyDescent="0.3">
      <c r="A129" t="s">
        <v>187</v>
      </c>
      <c r="B129" t="s">
        <v>263</v>
      </c>
      <c r="C129" t="s">
        <v>187</v>
      </c>
      <c r="D129">
        <v>0</v>
      </c>
      <c r="E129">
        <v>0</v>
      </c>
      <c r="F129" s="4" t="s">
        <v>87</v>
      </c>
      <c r="G129" s="4" t="str">
        <f>IFERROR(INDEX('2b. Dataset in R'!$H:$H,MATCH($A129,'2b. Dataset in R'!$A:$A,0)),PROPER($B129))</f>
        <v>Numeric</v>
      </c>
    </row>
    <row r="130" spans="1:7" x14ac:dyDescent="0.3">
      <c r="A130" t="s">
        <v>472</v>
      </c>
      <c r="B130" t="s">
        <v>276</v>
      </c>
      <c r="C130" t="s">
        <v>472</v>
      </c>
      <c r="D130">
        <v>0</v>
      </c>
      <c r="E130">
        <v>0</v>
      </c>
      <c r="G130" s="4" t="str">
        <f>IFERROR(INDEX('2b. Dataset in R'!$H:$H,MATCH($A130,'2b. Dataset in R'!$A:$A,0)),PROPER($B130))</f>
        <v>Character</v>
      </c>
    </row>
    <row r="131" spans="1:7" x14ac:dyDescent="0.3">
      <c r="A131" t="s">
        <v>1023</v>
      </c>
      <c r="B131" t="s">
        <v>277</v>
      </c>
      <c r="C131" t="s">
        <v>1023</v>
      </c>
      <c r="D131">
        <v>0</v>
      </c>
      <c r="E131">
        <v>0</v>
      </c>
      <c r="F131" s="4" t="s">
        <v>87</v>
      </c>
      <c r="G131" s="4" t="str">
        <f>IFERROR(INDEX('2b. Dataset in R'!$H:$H,MATCH($A131,'2b. Dataset in R'!$A:$A,0)),PROPER($B131))</f>
        <v>Integer</v>
      </c>
    </row>
    <row r="132" spans="1:7" x14ac:dyDescent="0.3">
      <c r="A132" t="s">
        <v>1024</v>
      </c>
      <c r="B132" t="s">
        <v>277</v>
      </c>
      <c r="C132" t="s">
        <v>1024</v>
      </c>
      <c r="D132">
        <v>0</v>
      </c>
      <c r="E132">
        <v>0</v>
      </c>
      <c r="F132" s="4" t="s">
        <v>87</v>
      </c>
      <c r="G132" s="4" t="str">
        <f>IFERROR(INDEX('2b. Dataset in R'!$H:$H,MATCH($A132,'2b. Dataset in R'!$A:$A,0)),PROPER($B132))</f>
        <v>Integer</v>
      </c>
    </row>
    <row r="133" spans="1:7" x14ac:dyDescent="0.3">
      <c r="A133" t="s">
        <v>473</v>
      </c>
      <c r="B133" t="s">
        <v>276</v>
      </c>
      <c r="C133" t="s">
        <v>473</v>
      </c>
      <c r="D133">
        <v>0</v>
      </c>
      <c r="E133">
        <v>0</v>
      </c>
      <c r="G133" s="4" t="str">
        <f>IFERROR(INDEX('2b. Dataset in R'!$H:$H,MATCH($A133,'2b. Dataset in R'!$A:$A,0)),PROPER($B133))</f>
        <v>Character</v>
      </c>
    </row>
    <row r="134" spans="1:7" x14ac:dyDescent="0.3">
      <c r="A134" t="s">
        <v>1025</v>
      </c>
      <c r="B134" t="s">
        <v>277</v>
      </c>
      <c r="C134" t="s">
        <v>1025</v>
      </c>
      <c r="D134">
        <v>0</v>
      </c>
      <c r="E134">
        <v>0</v>
      </c>
      <c r="F134" s="4" t="s">
        <v>87</v>
      </c>
      <c r="G134" s="4" t="str">
        <f>IFERROR(INDEX('2b. Dataset in R'!$H:$H,MATCH($A134,'2b. Dataset in R'!$A:$A,0)),PROPER($B134))</f>
        <v>Integer</v>
      </c>
    </row>
    <row r="135" spans="1:7" x14ac:dyDescent="0.3">
      <c r="A135" t="s">
        <v>1026</v>
      </c>
      <c r="B135" t="s">
        <v>277</v>
      </c>
      <c r="C135" t="s">
        <v>1026</v>
      </c>
      <c r="D135">
        <v>0</v>
      </c>
      <c r="E135">
        <v>0</v>
      </c>
      <c r="F135" s="4" t="s">
        <v>87</v>
      </c>
      <c r="G135" s="4" t="str">
        <f>IFERROR(INDEX('2b. Dataset in R'!$H:$H,MATCH($A135,'2b. Dataset in R'!$A:$A,0)),PROPER($B135))</f>
        <v>Integer</v>
      </c>
    </row>
    <row r="136" spans="1:7" x14ac:dyDescent="0.3">
      <c r="A136" t="s">
        <v>474</v>
      </c>
      <c r="B136" t="s">
        <v>276</v>
      </c>
      <c r="C136" t="s">
        <v>474</v>
      </c>
      <c r="D136">
        <v>0</v>
      </c>
      <c r="E136">
        <v>0</v>
      </c>
      <c r="G136" s="4" t="str">
        <f>IFERROR(INDEX('2b. Dataset in R'!$H:$H,MATCH($A136,'2b. Dataset in R'!$A:$A,0)),PROPER($B136))</f>
        <v>Character</v>
      </c>
    </row>
    <row r="137" spans="1:7" x14ac:dyDescent="0.3">
      <c r="A137" t="s">
        <v>1027</v>
      </c>
      <c r="B137" t="s">
        <v>277</v>
      </c>
      <c r="C137" t="s">
        <v>1027</v>
      </c>
      <c r="D137">
        <v>0</v>
      </c>
      <c r="E137">
        <v>0</v>
      </c>
      <c r="F137" s="4" t="s">
        <v>87</v>
      </c>
      <c r="G137" s="4" t="str">
        <f>IFERROR(INDEX('2b. Dataset in R'!$H:$H,MATCH($A137,'2b. Dataset in R'!$A:$A,0)),PROPER($B137))</f>
        <v>Integer</v>
      </c>
    </row>
    <row r="138" spans="1:7" x14ac:dyDescent="0.3">
      <c r="A138" t="s">
        <v>1028</v>
      </c>
      <c r="B138" t="s">
        <v>277</v>
      </c>
      <c r="C138" t="s">
        <v>1028</v>
      </c>
      <c r="D138">
        <v>0</v>
      </c>
      <c r="E138">
        <v>0</v>
      </c>
      <c r="F138" s="4" t="s">
        <v>87</v>
      </c>
      <c r="G138" s="4" t="str">
        <f>IFERROR(INDEX('2b. Dataset in R'!$H:$H,MATCH($A138,'2b. Dataset in R'!$A:$A,0)),PROPER($B138))</f>
        <v>Integer</v>
      </c>
    </row>
    <row r="139" spans="1:7" x14ac:dyDescent="0.3">
      <c r="A139" t="s">
        <v>475</v>
      </c>
      <c r="B139" t="s">
        <v>276</v>
      </c>
      <c r="C139" t="s">
        <v>475</v>
      </c>
      <c r="D139">
        <v>0</v>
      </c>
      <c r="E139">
        <v>0</v>
      </c>
      <c r="G139" s="4" t="str">
        <f>IFERROR(INDEX('2b. Dataset in R'!$H:$H,MATCH($A139,'2b. Dataset in R'!$A:$A,0)),PROPER($B139))</f>
        <v>Character</v>
      </c>
    </row>
    <row r="140" spans="1:7" x14ac:dyDescent="0.3">
      <c r="A140" t="s">
        <v>1029</v>
      </c>
      <c r="B140" t="s">
        <v>277</v>
      </c>
      <c r="C140" t="s">
        <v>1029</v>
      </c>
      <c r="D140">
        <v>0</v>
      </c>
      <c r="E140">
        <v>0</v>
      </c>
      <c r="F140" s="4" t="s">
        <v>87</v>
      </c>
      <c r="G140" s="4" t="str">
        <f>IFERROR(INDEX('2b. Dataset in R'!$H:$H,MATCH($A140,'2b. Dataset in R'!$A:$A,0)),PROPER($B140))</f>
        <v>Integer</v>
      </c>
    </row>
    <row r="141" spans="1:7" x14ac:dyDescent="0.3">
      <c r="A141" t="s">
        <v>1030</v>
      </c>
      <c r="B141" t="s">
        <v>277</v>
      </c>
      <c r="C141" t="s">
        <v>1030</v>
      </c>
      <c r="D141">
        <v>0</v>
      </c>
      <c r="E141">
        <v>0</v>
      </c>
      <c r="F141" s="4" t="s">
        <v>87</v>
      </c>
      <c r="G141" s="4" t="str">
        <f>IFERROR(INDEX('2b. Dataset in R'!$H:$H,MATCH($A141,'2b. Dataset in R'!$A:$A,0)),PROPER($B141))</f>
        <v>Integer</v>
      </c>
    </row>
    <row r="142" spans="1:7" x14ac:dyDescent="0.3">
      <c r="A142" t="s">
        <v>477</v>
      </c>
      <c r="B142" t="s">
        <v>263</v>
      </c>
      <c r="C142" t="s">
        <v>477</v>
      </c>
      <c r="D142">
        <v>0</v>
      </c>
      <c r="E142">
        <v>0</v>
      </c>
      <c r="F142" s="4" t="s">
        <v>87</v>
      </c>
      <c r="G142" s="4" t="str">
        <f>IFERROR(INDEX('2b. Dataset in R'!$H:$H,MATCH($A142,'2b. Dataset in R'!$A:$A,0)),PROPER($B142))</f>
        <v>Numeric</v>
      </c>
    </row>
    <row r="143" spans="1:7" x14ac:dyDescent="0.3">
      <c r="A143" t="s">
        <v>479</v>
      </c>
      <c r="B143" t="s">
        <v>276</v>
      </c>
      <c r="C143" t="s">
        <v>479</v>
      </c>
      <c r="D143">
        <v>0</v>
      </c>
      <c r="E143">
        <v>0</v>
      </c>
      <c r="G143" s="4" t="str">
        <f>IFERROR(INDEX('2b. Dataset in R'!$H:$H,MATCH($A143,'2b. Dataset in R'!$A:$A,0)),PROPER($B143))</f>
        <v>Character</v>
      </c>
    </row>
    <row r="144" spans="1:7" x14ac:dyDescent="0.3">
      <c r="A144" t="s">
        <v>1031</v>
      </c>
      <c r="B144" t="s">
        <v>277</v>
      </c>
      <c r="C144" t="s">
        <v>1031</v>
      </c>
      <c r="D144">
        <v>0</v>
      </c>
      <c r="E144">
        <v>0</v>
      </c>
      <c r="F144" s="4" t="s">
        <v>87</v>
      </c>
      <c r="G144" s="4" t="str">
        <f>IFERROR(INDEX('2b. Dataset in R'!$H:$H,MATCH($A144,'2b. Dataset in R'!$A:$A,0)),PROPER($B144))</f>
        <v>Integer</v>
      </c>
    </row>
    <row r="145" spans="1:7" x14ac:dyDescent="0.3">
      <c r="A145" t="s">
        <v>1032</v>
      </c>
      <c r="B145" t="s">
        <v>277</v>
      </c>
      <c r="C145" t="s">
        <v>1032</v>
      </c>
      <c r="D145">
        <v>0</v>
      </c>
      <c r="E145">
        <v>0</v>
      </c>
      <c r="F145" s="4" t="s">
        <v>87</v>
      </c>
      <c r="G145" s="4" t="str">
        <f>IFERROR(INDEX('2b. Dataset in R'!$H:$H,MATCH($A145,'2b. Dataset in R'!$A:$A,0)),PROPER($B145))</f>
        <v>Integer</v>
      </c>
    </row>
    <row r="146" spans="1:7" x14ac:dyDescent="0.3">
      <c r="A146" t="s">
        <v>1033</v>
      </c>
      <c r="B146" t="s">
        <v>277</v>
      </c>
      <c r="C146" t="s">
        <v>1033</v>
      </c>
      <c r="D146">
        <v>0</v>
      </c>
      <c r="E146">
        <v>0</v>
      </c>
      <c r="F146" s="4" t="s">
        <v>87</v>
      </c>
      <c r="G146" s="4" t="str">
        <f>IFERROR(INDEX('2b. Dataset in R'!$H:$H,MATCH($A146,'2b. Dataset in R'!$A:$A,0)),PROPER($B146))</f>
        <v>Integer</v>
      </c>
    </row>
    <row r="147" spans="1:7" x14ac:dyDescent="0.3">
      <c r="A147" t="s">
        <v>1034</v>
      </c>
      <c r="B147" t="s">
        <v>277</v>
      </c>
      <c r="C147" t="s">
        <v>1034</v>
      </c>
      <c r="D147">
        <v>0</v>
      </c>
      <c r="E147">
        <v>0</v>
      </c>
      <c r="F147" s="4" t="s">
        <v>87</v>
      </c>
      <c r="G147" s="4" t="str">
        <f>IFERROR(INDEX('2b. Dataset in R'!$H:$H,MATCH($A147,'2b. Dataset in R'!$A:$A,0)),PROPER($B147))</f>
        <v>Integer</v>
      </c>
    </row>
    <row r="148" spans="1:7" x14ac:dyDescent="0.3">
      <c r="A148" t="s">
        <v>1035</v>
      </c>
      <c r="B148" t="s">
        <v>277</v>
      </c>
      <c r="C148" t="s">
        <v>1035</v>
      </c>
      <c r="D148">
        <v>0</v>
      </c>
      <c r="E148">
        <v>0</v>
      </c>
      <c r="F148" s="4" t="s">
        <v>87</v>
      </c>
      <c r="G148" s="4" t="str">
        <f>IFERROR(INDEX('2b. Dataset in R'!$H:$H,MATCH($A148,'2b. Dataset in R'!$A:$A,0)),PROPER($B148))</f>
        <v>Integer</v>
      </c>
    </row>
    <row r="149" spans="1:7" x14ac:dyDescent="0.3">
      <c r="A149" t="s">
        <v>1036</v>
      </c>
      <c r="B149" t="s">
        <v>277</v>
      </c>
      <c r="C149" t="s">
        <v>1036</v>
      </c>
      <c r="D149">
        <v>0</v>
      </c>
      <c r="E149">
        <v>0</v>
      </c>
      <c r="F149" s="4" t="s">
        <v>87</v>
      </c>
      <c r="G149" s="4" t="str">
        <f>IFERROR(INDEX('2b. Dataset in R'!$H:$H,MATCH($A149,'2b. Dataset in R'!$A:$A,0)),PROPER($B149))</f>
        <v>Integer</v>
      </c>
    </row>
    <row r="150" spans="1:7" x14ac:dyDescent="0.3">
      <c r="A150" t="s">
        <v>1037</v>
      </c>
      <c r="B150" t="s">
        <v>277</v>
      </c>
      <c r="C150" t="s">
        <v>1037</v>
      </c>
      <c r="D150">
        <v>0</v>
      </c>
      <c r="E150">
        <v>0</v>
      </c>
      <c r="F150" s="4" t="s">
        <v>87</v>
      </c>
      <c r="G150" s="4" t="str">
        <f>IFERROR(INDEX('2b. Dataset in R'!$H:$H,MATCH($A150,'2b. Dataset in R'!$A:$A,0)),PROPER($B150))</f>
        <v>Integer</v>
      </c>
    </row>
    <row r="151" spans="1:7" x14ac:dyDescent="0.3">
      <c r="A151" t="s">
        <v>1038</v>
      </c>
      <c r="B151" t="s">
        <v>277</v>
      </c>
      <c r="C151" t="s">
        <v>1038</v>
      </c>
      <c r="D151">
        <v>0</v>
      </c>
      <c r="E151">
        <v>0</v>
      </c>
      <c r="F151" s="4" t="s">
        <v>87</v>
      </c>
      <c r="G151" s="4" t="str">
        <f>IFERROR(INDEX('2b. Dataset in R'!$H:$H,MATCH($A151,'2b. Dataset in R'!$A:$A,0)),PROPER($B151))</f>
        <v>Integer</v>
      </c>
    </row>
    <row r="152" spans="1:7" x14ac:dyDescent="0.3">
      <c r="A152" t="s">
        <v>1039</v>
      </c>
      <c r="B152" t="s">
        <v>277</v>
      </c>
      <c r="C152" t="s">
        <v>1039</v>
      </c>
      <c r="D152">
        <v>0</v>
      </c>
      <c r="E152">
        <v>0</v>
      </c>
      <c r="F152" s="4" t="s">
        <v>87</v>
      </c>
      <c r="G152" s="4" t="str">
        <f>IFERROR(INDEX('2b. Dataset in R'!$H:$H,MATCH($A152,'2b. Dataset in R'!$A:$A,0)),PROPER($B152))</f>
        <v>Integer</v>
      </c>
    </row>
    <row r="153" spans="1:7" x14ac:dyDescent="0.3">
      <c r="A153" t="s">
        <v>1040</v>
      </c>
      <c r="B153" t="s">
        <v>277</v>
      </c>
      <c r="C153" t="s">
        <v>1040</v>
      </c>
      <c r="D153">
        <v>0</v>
      </c>
      <c r="E153">
        <v>0</v>
      </c>
      <c r="G153" s="4" t="str">
        <f>IFERROR(INDEX('2b. Dataset in R'!$H:$H,MATCH($A153,'2b. Dataset in R'!$A:$A,0)),PROPER($B153))</f>
        <v>Integer</v>
      </c>
    </row>
    <row r="154" spans="1:7" x14ac:dyDescent="0.3">
      <c r="A154" t="s">
        <v>1041</v>
      </c>
      <c r="B154" t="s">
        <v>277</v>
      </c>
      <c r="C154" t="s">
        <v>1041</v>
      </c>
      <c r="D154">
        <v>0</v>
      </c>
      <c r="E154">
        <v>0</v>
      </c>
      <c r="F154" s="4" t="s">
        <v>87</v>
      </c>
      <c r="G154" s="4" t="str">
        <f>IFERROR(INDEX('2b. Dataset in R'!$H:$H,MATCH($A154,'2b. Dataset in R'!$A:$A,0)),PROPER($B154))</f>
        <v>Integer</v>
      </c>
    </row>
    <row r="155" spans="1:7" x14ac:dyDescent="0.3">
      <c r="A155" t="s">
        <v>1042</v>
      </c>
      <c r="B155" t="s">
        <v>277</v>
      </c>
      <c r="C155" t="s">
        <v>1042</v>
      </c>
      <c r="D155">
        <v>0</v>
      </c>
      <c r="E155">
        <v>0</v>
      </c>
      <c r="F155" s="4" t="s">
        <v>87</v>
      </c>
      <c r="G155" s="4" t="str">
        <f>IFERROR(INDEX('2b. Dataset in R'!$H:$H,MATCH($A155,'2b. Dataset in R'!$A:$A,0)),PROPER($B155))</f>
        <v>Integer</v>
      </c>
    </row>
    <row r="156" spans="1:7" x14ac:dyDescent="0.3">
      <c r="A156" t="s">
        <v>1043</v>
      </c>
      <c r="B156" t="s">
        <v>277</v>
      </c>
      <c r="C156" t="s">
        <v>1043</v>
      </c>
      <c r="D156">
        <v>0</v>
      </c>
      <c r="E156">
        <v>0</v>
      </c>
      <c r="F156" s="4" t="s">
        <v>87</v>
      </c>
      <c r="G156" s="4" t="str">
        <f>IFERROR(INDEX('2b. Dataset in R'!$H:$H,MATCH($A156,'2b. Dataset in R'!$A:$A,0)),PROPER($B156))</f>
        <v>Integer</v>
      </c>
    </row>
    <row r="157" spans="1:7" x14ac:dyDescent="0.3">
      <c r="A157" t="s">
        <v>1044</v>
      </c>
      <c r="B157" t="s">
        <v>277</v>
      </c>
      <c r="C157" t="s">
        <v>1044</v>
      </c>
      <c r="D157">
        <v>0</v>
      </c>
      <c r="E157">
        <v>0</v>
      </c>
      <c r="F157" s="4" t="s">
        <v>87</v>
      </c>
      <c r="G157" s="4" t="str">
        <f>IFERROR(INDEX('2b. Dataset in R'!$H:$H,MATCH($A157,'2b. Dataset in R'!$A:$A,0)),PROPER($B157))</f>
        <v>Integer</v>
      </c>
    </row>
    <row r="158" spans="1:7" x14ac:dyDescent="0.3">
      <c r="A158" t="s">
        <v>1045</v>
      </c>
      <c r="B158" t="s">
        <v>277</v>
      </c>
      <c r="C158" t="s">
        <v>1045</v>
      </c>
      <c r="D158">
        <v>0</v>
      </c>
      <c r="E158">
        <v>0</v>
      </c>
      <c r="F158" s="4" t="s">
        <v>87</v>
      </c>
      <c r="G158" s="4" t="str">
        <f>IFERROR(INDEX('2b. Dataset in R'!$H:$H,MATCH($A158,'2b. Dataset in R'!$A:$A,0)),PROPER($B158))</f>
        <v>Integer</v>
      </c>
    </row>
    <row r="159" spans="1:7" x14ac:dyDescent="0.3">
      <c r="A159" t="s">
        <v>1046</v>
      </c>
      <c r="B159" t="s">
        <v>277</v>
      </c>
      <c r="C159" t="s">
        <v>1046</v>
      </c>
      <c r="D159">
        <v>0</v>
      </c>
      <c r="E159">
        <v>0</v>
      </c>
      <c r="F159" s="4" t="s">
        <v>87</v>
      </c>
      <c r="G159" s="4" t="str">
        <f>IFERROR(INDEX('2b. Dataset in R'!$H:$H,MATCH($A159,'2b. Dataset in R'!$A:$A,0)),PROPER($B159))</f>
        <v>Integer</v>
      </c>
    </row>
    <row r="160" spans="1:7" x14ac:dyDescent="0.3">
      <c r="A160" t="s">
        <v>1047</v>
      </c>
      <c r="B160" t="s">
        <v>277</v>
      </c>
      <c r="C160" t="s">
        <v>1047</v>
      </c>
      <c r="D160">
        <v>0</v>
      </c>
      <c r="E160">
        <v>0</v>
      </c>
      <c r="F160" s="4" t="s">
        <v>87</v>
      </c>
      <c r="G160" s="4" t="str">
        <f>IFERROR(INDEX('2b. Dataset in R'!$H:$H,MATCH($A160,'2b. Dataset in R'!$A:$A,0)),PROPER($B160))</f>
        <v>Integer</v>
      </c>
    </row>
    <row r="161" spans="1:7" x14ac:dyDescent="0.3">
      <c r="A161" t="s">
        <v>1048</v>
      </c>
      <c r="B161" t="s">
        <v>277</v>
      </c>
      <c r="C161" t="s">
        <v>1048</v>
      </c>
      <c r="D161">
        <v>0</v>
      </c>
      <c r="E161">
        <v>0</v>
      </c>
      <c r="F161" s="4" t="s">
        <v>87</v>
      </c>
      <c r="G161" s="4" t="str">
        <f>IFERROR(INDEX('2b. Dataset in R'!$H:$H,MATCH($A161,'2b. Dataset in R'!$A:$A,0)),PROPER($B161))</f>
        <v>Integer</v>
      </c>
    </row>
    <row r="162" spans="1:7" x14ac:dyDescent="0.3">
      <c r="A162" t="s">
        <v>1049</v>
      </c>
      <c r="B162" t="s">
        <v>277</v>
      </c>
      <c r="C162" t="s">
        <v>1049</v>
      </c>
      <c r="D162">
        <v>0</v>
      </c>
      <c r="E162">
        <v>0</v>
      </c>
      <c r="F162" s="4" t="s">
        <v>87</v>
      </c>
      <c r="G162" s="4" t="str">
        <f>IFERROR(INDEX('2b. Dataset in R'!$H:$H,MATCH($A162,'2b. Dataset in R'!$A:$A,0)),PROPER($B162))</f>
        <v>Integer</v>
      </c>
    </row>
    <row r="163" spans="1:7" x14ac:dyDescent="0.3">
      <c r="A163" t="s">
        <v>1050</v>
      </c>
      <c r="B163" t="s">
        <v>277</v>
      </c>
      <c r="C163" t="s">
        <v>1050</v>
      </c>
      <c r="D163">
        <v>0</v>
      </c>
      <c r="E163">
        <v>0</v>
      </c>
      <c r="F163" s="4" t="s">
        <v>87</v>
      </c>
      <c r="G163" s="4" t="str">
        <f>IFERROR(INDEX('2b. Dataset in R'!$H:$H,MATCH($A163,'2b. Dataset in R'!$A:$A,0)),PROPER($B163))</f>
        <v>Integer</v>
      </c>
    </row>
    <row r="164" spans="1:7" x14ac:dyDescent="0.3">
      <c r="A164" t="s">
        <v>1051</v>
      </c>
      <c r="B164" t="s">
        <v>277</v>
      </c>
      <c r="C164" t="s">
        <v>1051</v>
      </c>
      <c r="D164">
        <v>0</v>
      </c>
      <c r="E164">
        <v>0</v>
      </c>
      <c r="F164" s="4" t="s">
        <v>87</v>
      </c>
      <c r="G164" s="4" t="str">
        <f>IFERROR(INDEX('2b. Dataset in R'!$H:$H,MATCH($A164,'2b. Dataset in R'!$A:$A,0)),PROPER($B164))</f>
        <v>Integer</v>
      </c>
    </row>
    <row r="165" spans="1:7" x14ac:dyDescent="0.3">
      <c r="A165" t="s">
        <v>1052</v>
      </c>
      <c r="B165" t="s">
        <v>277</v>
      </c>
      <c r="C165" t="s">
        <v>1052</v>
      </c>
      <c r="D165">
        <v>0</v>
      </c>
      <c r="E165">
        <v>0</v>
      </c>
      <c r="F165" s="4" t="s">
        <v>87</v>
      </c>
      <c r="G165" s="4" t="str">
        <f>IFERROR(INDEX('2b. Dataset in R'!$H:$H,MATCH($A165,'2b. Dataset in R'!$A:$A,0)),PROPER($B165))</f>
        <v>Integer</v>
      </c>
    </row>
    <row r="166" spans="1:7" x14ac:dyDescent="0.3">
      <c r="A166" t="s">
        <v>1053</v>
      </c>
      <c r="B166" t="s">
        <v>277</v>
      </c>
      <c r="C166" t="s">
        <v>1053</v>
      </c>
      <c r="D166">
        <v>0</v>
      </c>
      <c r="E166">
        <v>0</v>
      </c>
      <c r="F166" s="4" t="s">
        <v>87</v>
      </c>
      <c r="G166" s="4" t="str">
        <f>IFERROR(INDEX('2b. Dataset in R'!$H:$H,MATCH($A166,'2b. Dataset in R'!$A:$A,0)),PROPER($B166))</f>
        <v>Integer</v>
      </c>
    </row>
    <row r="167" spans="1:7" x14ac:dyDescent="0.3">
      <c r="A167" t="s">
        <v>1054</v>
      </c>
      <c r="B167" t="s">
        <v>277</v>
      </c>
      <c r="C167" t="s">
        <v>1054</v>
      </c>
      <c r="D167">
        <v>0</v>
      </c>
      <c r="E167">
        <v>0</v>
      </c>
      <c r="F167" s="4" t="s">
        <v>87</v>
      </c>
      <c r="G167" s="4" t="str">
        <f>IFERROR(INDEX('2b. Dataset in R'!$H:$H,MATCH($A167,'2b. Dataset in R'!$A:$A,0)),PROPER($B167))</f>
        <v>Integer</v>
      </c>
    </row>
    <row r="168" spans="1:7" x14ac:dyDescent="0.3">
      <c r="A168" t="s">
        <v>480</v>
      </c>
      <c r="B168" t="s">
        <v>276</v>
      </c>
      <c r="C168" t="s">
        <v>480</v>
      </c>
      <c r="D168">
        <v>0</v>
      </c>
      <c r="E168">
        <v>0</v>
      </c>
      <c r="G168" s="4" t="str">
        <f>IFERROR(INDEX('2b. Dataset in R'!$H:$H,MATCH($A168,'2b. Dataset in R'!$A:$A,0)),PROPER($B168))</f>
        <v>Character</v>
      </c>
    </row>
    <row r="169" spans="1:7" x14ac:dyDescent="0.3">
      <c r="A169" t="s">
        <v>1055</v>
      </c>
      <c r="B169" t="s">
        <v>277</v>
      </c>
      <c r="C169" t="s">
        <v>1055</v>
      </c>
      <c r="D169">
        <v>0</v>
      </c>
      <c r="E169">
        <v>0</v>
      </c>
      <c r="F169" s="4" t="s">
        <v>87</v>
      </c>
      <c r="G169" s="4" t="str">
        <f>IFERROR(INDEX('2b. Dataset in R'!$H:$H,MATCH($A169,'2b. Dataset in R'!$A:$A,0)),PROPER($B169))</f>
        <v>Integer</v>
      </c>
    </row>
    <row r="170" spans="1:7" x14ac:dyDescent="0.3">
      <c r="A170" t="s">
        <v>1056</v>
      </c>
      <c r="B170" t="s">
        <v>277</v>
      </c>
      <c r="C170" t="s">
        <v>1056</v>
      </c>
      <c r="D170">
        <v>0</v>
      </c>
      <c r="E170">
        <v>0</v>
      </c>
      <c r="F170" s="4" t="s">
        <v>87</v>
      </c>
      <c r="G170" s="4" t="str">
        <f>IFERROR(INDEX('2b. Dataset in R'!$H:$H,MATCH($A170,'2b. Dataset in R'!$A:$A,0)),PROPER($B170))</f>
        <v>Integer</v>
      </c>
    </row>
    <row r="171" spans="1:7" x14ac:dyDescent="0.3">
      <c r="A171" t="s">
        <v>1057</v>
      </c>
      <c r="B171" t="s">
        <v>277</v>
      </c>
      <c r="C171" t="s">
        <v>1057</v>
      </c>
      <c r="D171">
        <v>0</v>
      </c>
      <c r="E171">
        <v>0</v>
      </c>
      <c r="F171" s="4" t="s">
        <v>87</v>
      </c>
      <c r="G171" s="4" t="str">
        <f>IFERROR(INDEX('2b. Dataset in R'!$H:$H,MATCH($A171,'2b. Dataset in R'!$A:$A,0)),PROPER($B171))</f>
        <v>Integer</v>
      </c>
    </row>
    <row r="172" spans="1:7" x14ac:dyDescent="0.3">
      <c r="A172" t="s">
        <v>1058</v>
      </c>
      <c r="B172" t="s">
        <v>277</v>
      </c>
      <c r="C172" t="s">
        <v>1058</v>
      </c>
      <c r="D172">
        <v>0</v>
      </c>
      <c r="E172">
        <v>0</v>
      </c>
      <c r="F172" s="4" t="s">
        <v>87</v>
      </c>
      <c r="G172" s="4" t="str">
        <f>IFERROR(INDEX('2b. Dataset in R'!$H:$H,MATCH($A172,'2b. Dataset in R'!$A:$A,0)),PROPER($B172))</f>
        <v>Integer</v>
      </c>
    </row>
    <row r="173" spans="1:7" x14ac:dyDescent="0.3">
      <c r="A173" t="s">
        <v>1059</v>
      </c>
      <c r="B173" t="s">
        <v>277</v>
      </c>
      <c r="C173" t="s">
        <v>1059</v>
      </c>
      <c r="D173">
        <v>0</v>
      </c>
      <c r="E173">
        <v>0</v>
      </c>
      <c r="F173" s="4" t="s">
        <v>87</v>
      </c>
      <c r="G173" s="4" t="str">
        <f>IFERROR(INDEX('2b. Dataset in R'!$H:$H,MATCH($A173,'2b. Dataset in R'!$A:$A,0)),PROPER($B173))</f>
        <v>Integer</v>
      </c>
    </row>
    <row r="174" spans="1:7" x14ac:dyDescent="0.3">
      <c r="A174" t="s">
        <v>1060</v>
      </c>
      <c r="B174" t="s">
        <v>277</v>
      </c>
      <c r="C174" t="s">
        <v>1060</v>
      </c>
      <c r="D174">
        <v>0</v>
      </c>
      <c r="E174">
        <v>0</v>
      </c>
      <c r="G174" s="4" t="str">
        <f>IFERROR(INDEX('2b. Dataset in R'!$H:$H,MATCH($A174,'2b. Dataset in R'!$A:$A,0)),PROPER($B174))</f>
        <v>Integer</v>
      </c>
    </row>
    <row r="175" spans="1:7" x14ac:dyDescent="0.3">
      <c r="A175" t="s">
        <v>1061</v>
      </c>
      <c r="B175" t="s">
        <v>277</v>
      </c>
      <c r="C175" t="s">
        <v>1061</v>
      </c>
      <c r="D175">
        <v>0</v>
      </c>
      <c r="E175">
        <v>0</v>
      </c>
      <c r="F175" s="4" t="s">
        <v>87</v>
      </c>
      <c r="G175" s="4" t="str">
        <f>IFERROR(INDEX('2b. Dataset in R'!$H:$H,MATCH($A175,'2b. Dataset in R'!$A:$A,0)),PROPER($B175))</f>
        <v>Integer</v>
      </c>
    </row>
    <row r="176" spans="1:7" x14ac:dyDescent="0.3">
      <c r="A176" t="s">
        <v>1062</v>
      </c>
      <c r="B176" t="s">
        <v>277</v>
      </c>
      <c r="C176" t="s">
        <v>1062</v>
      </c>
      <c r="D176">
        <v>0</v>
      </c>
      <c r="E176">
        <v>0</v>
      </c>
      <c r="F176" s="4" t="s">
        <v>87</v>
      </c>
      <c r="G176" s="4" t="str">
        <f>IFERROR(INDEX('2b. Dataset in R'!$H:$H,MATCH($A176,'2b. Dataset in R'!$A:$A,0)),PROPER($B176))</f>
        <v>Integer</v>
      </c>
    </row>
    <row r="177" spans="1:7" x14ac:dyDescent="0.3">
      <c r="A177" t="s">
        <v>1063</v>
      </c>
      <c r="B177" t="s">
        <v>277</v>
      </c>
      <c r="C177" t="s">
        <v>1063</v>
      </c>
      <c r="D177">
        <v>0</v>
      </c>
      <c r="E177">
        <v>0</v>
      </c>
      <c r="F177" s="4" t="s">
        <v>87</v>
      </c>
      <c r="G177" s="4" t="str">
        <f>IFERROR(INDEX('2b. Dataset in R'!$H:$H,MATCH($A177,'2b. Dataset in R'!$A:$A,0)),PROPER($B177))</f>
        <v>Integer</v>
      </c>
    </row>
    <row r="178" spans="1:7" x14ac:dyDescent="0.3">
      <c r="A178" t="s">
        <v>1064</v>
      </c>
      <c r="B178" t="s">
        <v>277</v>
      </c>
      <c r="C178" t="s">
        <v>1064</v>
      </c>
      <c r="D178">
        <v>0</v>
      </c>
      <c r="E178">
        <v>0</v>
      </c>
      <c r="F178" s="4" t="s">
        <v>87</v>
      </c>
      <c r="G178" s="4" t="str">
        <f>IFERROR(INDEX('2b. Dataset in R'!$H:$H,MATCH($A178,'2b. Dataset in R'!$A:$A,0)),PROPER($B178))</f>
        <v>Integer</v>
      </c>
    </row>
    <row r="179" spans="1:7" x14ac:dyDescent="0.3">
      <c r="A179" t="s">
        <v>1065</v>
      </c>
      <c r="B179" t="s">
        <v>277</v>
      </c>
      <c r="C179" t="s">
        <v>1065</v>
      </c>
      <c r="D179">
        <v>0</v>
      </c>
      <c r="E179">
        <v>0</v>
      </c>
      <c r="F179" s="4" t="s">
        <v>87</v>
      </c>
      <c r="G179" s="4" t="str">
        <f>IFERROR(INDEX('2b. Dataset in R'!$H:$H,MATCH($A179,'2b. Dataset in R'!$A:$A,0)),PROPER($B179))</f>
        <v>Integer</v>
      </c>
    </row>
    <row r="180" spans="1:7" x14ac:dyDescent="0.3">
      <c r="A180" t="s">
        <v>1066</v>
      </c>
      <c r="B180" t="s">
        <v>277</v>
      </c>
      <c r="C180" t="s">
        <v>1066</v>
      </c>
      <c r="D180">
        <v>0</v>
      </c>
      <c r="E180">
        <v>0</v>
      </c>
      <c r="F180" s="4" t="s">
        <v>87</v>
      </c>
      <c r="G180" s="4" t="str">
        <f>IFERROR(INDEX('2b. Dataset in R'!$H:$H,MATCH($A180,'2b. Dataset in R'!$A:$A,0)),PROPER($B180))</f>
        <v>Integer</v>
      </c>
    </row>
    <row r="181" spans="1:7" x14ac:dyDescent="0.3">
      <c r="A181" t="s">
        <v>1067</v>
      </c>
      <c r="B181" t="s">
        <v>277</v>
      </c>
      <c r="C181" t="s">
        <v>1067</v>
      </c>
      <c r="D181">
        <v>0</v>
      </c>
      <c r="E181">
        <v>0</v>
      </c>
      <c r="F181" s="4" t="s">
        <v>87</v>
      </c>
      <c r="G181" s="4" t="str">
        <f>IFERROR(INDEX('2b. Dataset in R'!$H:$H,MATCH($A181,'2b. Dataset in R'!$A:$A,0)),PROPER($B181))</f>
        <v>Integer</v>
      </c>
    </row>
    <row r="182" spans="1:7" x14ac:dyDescent="0.3">
      <c r="A182" t="s">
        <v>1068</v>
      </c>
      <c r="B182" t="s">
        <v>277</v>
      </c>
      <c r="C182" t="s">
        <v>1068</v>
      </c>
      <c r="D182">
        <v>0</v>
      </c>
      <c r="E182">
        <v>0</v>
      </c>
      <c r="F182" s="4" t="s">
        <v>87</v>
      </c>
      <c r="G182" s="4" t="str">
        <f>IFERROR(INDEX('2b. Dataset in R'!$H:$H,MATCH($A182,'2b. Dataset in R'!$A:$A,0)),PROPER($B182))</f>
        <v>Integer</v>
      </c>
    </row>
    <row r="183" spans="1:7" x14ac:dyDescent="0.3">
      <c r="A183" t="s">
        <v>1069</v>
      </c>
      <c r="B183" t="s">
        <v>277</v>
      </c>
      <c r="C183" t="s">
        <v>1069</v>
      </c>
      <c r="D183">
        <v>0</v>
      </c>
      <c r="E183">
        <v>0</v>
      </c>
      <c r="F183" s="4" t="s">
        <v>87</v>
      </c>
      <c r="G183" s="4" t="str">
        <f>IFERROR(INDEX('2b. Dataset in R'!$H:$H,MATCH($A183,'2b. Dataset in R'!$A:$A,0)),PROPER($B183))</f>
        <v>Integer</v>
      </c>
    </row>
    <row r="184" spans="1:7" x14ac:dyDescent="0.3">
      <c r="A184" t="s">
        <v>1070</v>
      </c>
      <c r="B184" t="s">
        <v>277</v>
      </c>
      <c r="C184" t="s">
        <v>1070</v>
      </c>
      <c r="D184">
        <v>0</v>
      </c>
      <c r="E184">
        <v>0</v>
      </c>
      <c r="F184" s="4" t="s">
        <v>87</v>
      </c>
      <c r="G184" s="4" t="str">
        <f>IFERROR(INDEX('2b. Dataset in R'!$H:$H,MATCH($A184,'2b. Dataset in R'!$A:$A,0)),PROPER($B184))</f>
        <v>Integer</v>
      </c>
    </row>
    <row r="185" spans="1:7" x14ac:dyDescent="0.3">
      <c r="A185" t="s">
        <v>481</v>
      </c>
      <c r="B185" t="s">
        <v>276</v>
      </c>
      <c r="C185" t="s">
        <v>481</v>
      </c>
      <c r="D185">
        <v>0</v>
      </c>
      <c r="E185">
        <v>0</v>
      </c>
      <c r="G185" s="4" t="str">
        <f>IFERROR(INDEX('2b. Dataset in R'!$H:$H,MATCH($A185,'2b. Dataset in R'!$A:$A,0)),PROPER($B185))</f>
        <v>Character</v>
      </c>
    </row>
    <row r="186" spans="1:7" x14ac:dyDescent="0.3">
      <c r="A186" t="s">
        <v>1071</v>
      </c>
      <c r="B186" t="s">
        <v>277</v>
      </c>
      <c r="C186" t="s">
        <v>1071</v>
      </c>
      <c r="D186">
        <v>0</v>
      </c>
      <c r="E186">
        <v>0</v>
      </c>
      <c r="F186" s="4" t="s">
        <v>87</v>
      </c>
      <c r="G186" s="4" t="str">
        <f>IFERROR(INDEX('2b. Dataset in R'!$H:$H,MATCH($A186,'2b. Dataset in R'!$A:$A,0)),PROPER($B186))</f>
        <v>Integer</v>
      </c>
    </row>
    <row r="187" spans="1:7" x14ac:dyDescent="0.3">
      <c r="A187" t="s">
        <v>1072</v>
      </c>
      <c r="B187" t="s">
        <v>277</v>
      </c>
      <c r="C187" t="s">
        <v>1072</v>
      </c>
      <c r="D187">
        <v>0</v>
      </c>
      <c r="E187">
        <v>0</v>
      </c>
      <c r="F187" s="4" t="s">
        <v>87</v>
      </c>
      <c r="G187" s="4" t="str">
        <f>IFERROR(INDEX('2b. Dataset in R'!$H:$H,MATCH($A187,'2b. Dataset in R'!$A:$A,0)),PROPER($B187))</f>
        <v>Integer</v>
      </c>
    </row>
    <row r="188" spans="1:7" x14ac:dyDescent="0.3">
      <c r="A188" t="s">
        <v>1073</v>
      </c>
      <c r="B188" t="s">
        <v>277</v>
      </c>
      <c r="C188" t="s">
        <v>1073</v>
      </c>
      <c r="D188">
        <v>0</v>
      </c>
      <c r="E188">
        <v>0</v>
      </c>
      <c r="F188" s="4" t="s">
        <v>87</v>
      </c>
      <c r="G188" s="4" t="str">
        <f>IFERROR(INDEX('2b. Dataset in R'!$H:$H,MATCH($A188,'2b. Dataset in R'!$A:$A,0)),PROPER($B188))</f>
        <v>Integer</v>
      </c>
    </row>
    <row r="189" spans="1:7" x14ac:dyDescent="0.3">
      <c r="A189" t="s">
        <v>1074</v>
      </c>
      <c r="B189" t="s">
        <v>277</v>
      </c>
      <c r="C189" t="s">
        <v>1074</v>
      </c>
      <c r="D189">
        <v>0</v>
      </c>
      <c r="E189">
        <v>0</v>
      </c>
      <c r="G189" s="4" t="str">
        <f>IFERROR(INDEX('2b. Dataset in R'!$H:$H,MATCH($A189,'2b. Dataset in R'!$A:$A,0)),PROPER($B189))</f>
        <v>Integer</v>
      </c>
    </row>
    <row r="190" spans="1:7" x14ac:dyDescent="0.3">
      <c r="A190" t="s">
        <v>1075</v>
      </c>
      <c r="B190" t="s">
        <v>277</v>
      </c>
      <c r="C190" t="s">
        <v>1075</v>
      </c>
      <c r="D190">
        <v>0</v>
      </c>
      <c r="E190">
        <v>0</v>
      </c>
      <c r="F190" s="4" t="s">
        <v>87</v>
      </c>
      <c r="G190" s="4" t="str">
        <f>IFERROR(INDEX('2b. Dataset in R'!$H:$H,MATCH($A190,'2b. Dataset in R'!$A:$A,0)),PROPER($B190))</f>
        <v>Integer</v>
      </c>
    </row>
    <row r="191" spans="1:7" x14ac:dyDescent="0.3">
      <c r="A191" t="s">
        <v>1076</v>
      </c>
      <c r="B191" t="s">
        <v>277</v>
      </c>
      <c r="C191" t="s">
        <v>1076</v>
      </c>
      <c r="D191">
        <v>0</v>
      </c>
      <c r="E191">
        <v>0</v>
      </c>
      <c r="F191" s="4" t="s">
        <v>87</v>
      </c>
      <c r="G191" s="4" t="str">
        <f>IFERROR(INDEX('2b. Dataset in R'!$H:$H,MATCH($A191,'2b. Dataset in R'!$A:$A,0)),PROPER($B191))</f>
        <v>Integer</v>
      </c>
    </row>
    <row r="192" spans="1:7" x14ac:dyDescent="0.3">
      <c r="A192" t="s">
        <v>1077</v>
      </c>
      <c r="B192" t="s">
        <v>277</v>
      </c>
      <c r="C192" t="s">
        <v>1077</v>
      </c>
      <c r="D192">
        <v>0</v>
      </c>
      <c r="E192">
        <v>0</v>
      </c>
      <c r="F192" s="4" t="s">
        <v>87</v>
      </c>
      <c r="G192" s="4" t="str">
        <f>IFERROR(INDEX('2b. Dataset in R'!$H:$H,MATCH($A192,'2b. Dataset in R'!$A:$A,0)),PROPER($B192))</f>
        <v>Integer</v>
      </c>
    </row>
    <row r="193" spans="1:7" x14ac:dyDescent="0.3">
      <c r="A193" t="s">
        <v>1078</v>
      </c>
      <c r="B193" t="s">
        <v>277</v>
      </c>
      <c r="C193" t="s">
        <v>1078</v>
      </c>
      <c r="D193">
        <v>0</v>
      </c>
      <c r="E193">
        <v>0</v>
      </c>
      <c r="F193" s="4" t="s">
        <v>87</v>
      </c>
      <c r="G193" s="4" t="str">
        <f>IFERROR(INDEX('2b. Dataset in R'!$H:$H,MATCH($A193,'2b. Dataset in R'!$A:$A,0)),PROPER($B193))</f>
        <v>Integer</v>
      </c>
    </row>
    <row r="194" spans="1:7" x14ac:dyDescent="0.3">
      <c r="A194" t="s">
        <v>1079</v>
      </c>
      <c r="B194" t="s">
        <v>277</v>
      </c>
      <c r="C194" t="s">
        <v>1079</v>
      </c>
      <c r="D194">
        <v>0</v>
      </c>
      <c r="E194">
        <v>0</v>
      </c>
      <c r="F194" s="4" t="s">
        <v>87</v>
      </c>
      <c r="G194" s="4" t="str">
        <f>IFERROR(INDEX('2b. Dataset in R'!$H:$H,MATCH($A194,'2b. Dataset in R'!$A:$A,0)),PROPER($B194))</f>
        <v>Integer</v>
      </c>
    </row>
    <row r="195" spans="1:7" x14ac:dyDescent="0.3">
      <c r="A195" t="s">
        <v>482</v>
      </c>
      <c r="B195" t="s">
        <v>276</v>
      </c>
      <c r="C195" t="s">
        <v>482</v>
      </c>
      <c r="D195">
        <v>0</v>
      </c>
      <c r="E195">
        <v>0</v>
      </c>
      <c r="G195" s="4" t="str">
        <f>IFERROR(INDEX('2b. Dataset in R'!$H:$H,MATCH($A195,'2b. Dataset in R'!$A:$A,0)),PROPER($B195))</f>
        <v>Character</v>
      </c>
    </row>
    <row r="196" spans="1:7" x14ac:dyDescent="0.3">
      <c r="A196" t="s">
        <v>1080</v>
      </c>
      <c r="B196" t="s">
        <v>277</v>
      </c>
      <c r="C196" t="s">
        <v>1080</v>
      </c>
      <c r="D196">
        <v>0</v>
      </c>
      <c r="E196">
        <v>0</v>
      </c>
      <c r="F196" s="4" t="s">
        <v>87</v>
      </c>
      <c r="G196" s="4" t="str">
        <f>IFERROR(INDEX('2b. Dataset in R'!$H:$H,MATCH($A196,'2b. Dataset in R'!$A:$A,0)),PROPER($B196))</f>
        <v>Integer</v>
      </c>
    </row>
    <row r="197" spans="1:7" x14ac:dyDescent="0.3">
      <c r="A197" t="s">
        <v>1081</v>
      </c>
      <c r="B197" t="s">
        <v>277</v>
      </c>
      <c r="C197" t="s">
        <v>1081</v>
      </c>
      <c r="D197">
        <v>0</v>
      </c>
      <c r="E197">
        <v>0</v>
      </c>
      <c r="G197" s="4" t="str">
        <f>IFERROR(INDEX('2b. Dataset in R'!$H:$H,MATCH($A197,'2b. Dataset in R'!$A:$A,0)),PROPER($B197))</f>
        <v>Integer</v>
      </c>
    </row>
    <row r="198" spans="1:7" x14ac:dyDescent="0.3">
      <c r="A198" t="s">
        <v>1082</v>
      </c>
      <c r="B198" t="s">
        <v>277</v>
      </c>
      <c r="C198" t="s">
        <v>1082</v>
      </c>
      <c r="D198">
        <v>0</v>
      </c>
      <c r="E198">
        <v>0</v>
      </c>
      <c r="F198" s="4" t="s">
        <v>87</v>
      </c>
      <c r="G198" s="4" t="str">
        <f>IFERROR(INDEX('2b. Dataset in R'!$H:$H,MATCH($A198,'2b. Dataset in R'!$A:$A,0)),PROPER($B198))</f>
        <v>Integer</v>
      </c>
    </row>
    <row r="199" spans="1:7" x14ac:dyDescent="0.3">
      <c r="A199" t="s">
        <v>1083</v>
      </c>
      <c r="B199" t="s">
        <v>277</v>
      </c>
      <c r="C199" t="s">
        <v>1083</v>
      </c>
      <c r="D199">
        <v>0</v>
      </c>
      <c r="E199">
        <v>0</v>
      </c>
      <c r="F199" s="4" t="s">
        <v>87</v>
      </c>
      <c r="G199" s="4" t="str">
        <f>IFERROR(INDEX('2b. Dataset in R'!$H:$H,MATCH($A199,'2b. Dataset in R'!$A:$A,0)),PROPER($B199))</f>
        <v>Integer</v>
      </c>
    </row>
    <row r="200" spans="1:7" x14ac:dyDescent="0.3">
      <c r="A200" t="s">
        <v>1084</v>
      </c>
      <c r="B200" t="s">
        <v>277</v>
      </c>
      <c r="C200" t="s">
        <v>1084</v>
      </c>
      <c r="D200">
        <v>0</v>
      </c>
      <c r="E200">
        <v>0</v>
      </c>
      <c r="F200" s="4" t="s">
        <v>87</v>
      </c>
      <c r="G200" s="4" t="str">
        <f>IFERROR(INDEX('2b. Dataset in R'!$H:$H,MATCH($A200,'2b. Dataset in R'!$A:$A,0)),PROPER($B200))</f>
        <v>Integer</v>
      </c>
    </row>
    <row r="201" spans="1:7" x14ac:dyDescent="0.3">
      <c r="A201" t="s">
        <v>486</v>
      </c>
      <c r="B201" t="s">
        <v>263</v>
      </c>
      <c r="C201" t="s">
        <v>486</v>
      </c>
      <c r="D201">
        <v>0</v>
      </c>
      <c r="E201">
        <v>0</v>
      </c>
      <c r="F201" s="4" t="s">
        <v>87</v>
      </c>
      <c r="G201" s="4" t="str">
        <f>IFERROR(INDEX('2b. Dataset in R'!$H:$H,MATCH($A201,'2b. Dataset in R'!$A:$A,0)),PROPER($B201))</f>
        <v>Numeric</v>
      </c>
    </row>
    <row r="202" spans="1:7" x14ac:dyDescent="0.3">
      <c r="A202" t="s">
        <v>488</v>
      </c>
      <c r="B202" t="s">
        <v>276</v>
      </c>
      <c r="C202" t="s">
        <v>488</v>
      </c>
      <c r="D202">
        <v>0</v>
      </c>
      <c r="E202">
        <v>0</v>
      </c>
      <c r="G202" s="4" t="str">
        <f>IFERROR(INDEX('2b. Dataset in R'!$H:$H,MATCH($A202,'2b. Dataset in R'!$A:$A,0)),PROPER($B202))</f>
        <v>Character</v>
      </c>
    </row>
    <row r="203" spans="1:7" x14ac:dyDescent="0.3">
      <c r="A203" t="s">
        <v>1085</v>
      </c>
      <c r="B203" t="s">
        <v>277</v>
      </c>
      <c r="C203" t="s">
        <v>1085</v>
      </c>
      <c r="D203">
        <v>0</v>
      </c>
      <c r="E203">
        <v>0</v>
      </c>
      <c r="F203" s="4" t="s">
        <v>87</v>
      </c>
      <c r="G203" s="4" t="str">
        <f>IFERROR(INDEX('2b. Dataset in R'!$H:$H,MATCH($A203,'2b. Dataset in R'!$A:$A,0)),PROPER($B203))</f>
        <v>Integer</v>
      </c>
    </row>
    <row r="204" spans="1:7" x14ac:dyDescent="0.3">
      <c r="A204" t="s">
        <v>1086</v>
      </c>
      <c r="B204" t="s">
        <v>277</v>
      </c>
      <c r="C204" t="s">
        <v>1086</v>
      </c>
      <c r="D204">
        <v>0</v>
      </c>
      <c r="E204">
        <v>0</v>
      </c>
      <c r="F204" s="4" t="s">
        <v>87</v>
      </c>
      <c r="G204" s="4" t="str">
        <f>IFERROR(INDEX('2b. Dataset in R'!$H:$H,MATCH($A204,'2b. Dataset in R'!$A:$A,0)),PROPER($B204))</f>
        <v>Integer</v>
      </c>
    </row>
    <row r="205" spans="1:7" x14ac:dyDescent="0.3">
      <c r="A205" t="s">
        <v>502</v>
      </c>
      <c r="B205" t="s">
        <v>276</v>
      </c>
      <c r="C205" t="s">
        <v>502</v>
      </c>
      <c r="D205">
        <v>0</v>
      </c>
      <c r="E205">
        <v>0</v>
      </c>
      <c r="G205" s="4" t="str">
        <f>IFERROR(INDEX('2b. Dataset in R'!$H:$H,MATCH($A205,'2b. Dataset in R'!$A:$A,0)),PROPER($B205))</f>
        <v>Character</v>
      </c>
    </row>
    <row r="206" spans="1:7" x14ac:dyDescent="0.3">
      <c r="A206" t="s">
        <v>1087</v>
      </c>
      <c r="B206" t="s">
        <v>277</v>
      </c>
      <c r="C206" t="s">
        <v>1087</v>
      </c>
      <c r="D206">
        <v>0</v>
      </c>
      <c r="E206">
        <v>0</v>
      </c>
      <c r="F206" s="4" t="s">
        <v>87</v>
      </c>
      <c r="G206" s="4" t="str">
        <f>IFERROR(INDEX('2b. Dataset in R'!$H:$H,MATCH($A206,'2b. Dataset in R'!$A:$A,0)),PROPER($B206))</f>
        <v>Integer</v>
      </c>
    </row>
    <row r="207" spans="1:7" x14ac:dyDescent="0.3">
      <c r="A207" t="s">
        <v>1088</v>
      </c>
      <c r="B207" t="s">
        <v>277</v>
      </c>
      <c r="C207" t="s">
        <v>1088</v>
      </c>
      <c r="D207">
        <v>0</v>
      </c>
      <c r="E207">
        <v>0</v>
      </c>
      <c r="F207" s="4" t="s">
        <v>87</v>
      </c>
      <c r="G207" s="4" t="str">
        <f>IFERROR(INDEX('2b. Dataset in R'!$H:$H,MATCH($A207,'2b. Dataset in R'!$A:$A,0)),PROPER($B207))</f>
        <v>Integer</v>
      </c>
    </row>
    <row r="208" spans="1:7" x14ac:dyDescent="0.3">
      <c r="A208" t="s">
        <v>1089</v>
      </c>
      <c r="B208" t="s">
        <v>277</v>
      </c>
      <c r="C208" t="s">
        <v>1089</v>
      </c>
      <c r="D208">
        <v>0</v>
      </c>
      <c r="E208">
        <v>0</v>
      </c>
      <c r="F208" s="4" t="s">
        <v>87</v>
      </c>
      <c r="G208" s="4" t="str">
        <f>IFERROR(INDEX('2b. Dataset in R'!$H:$H,MATCH($A208,'2b. Dataset in R'!$A:$A,0)),PROPER($B208))</f>
        <v>Integer</v>
      </c>
    </row>
    <row r="209" spans="1:7" x14ac:dyDescent="0.3">
      <c r="A209" t="s">
        <v>1090</v>
      </c>
      <c r="B209" t="s">
        <v>277</v>
      </c>
      <c r="C209" t="s">
        <v>1090</v>
      </c>
      <c r="D209">
        <v>0</v>
      </c>
      <c r="E209">
        <v>0</v>
      </c>
      <c r="G209" s="4" t="str">
        <f>IFERROR(INDEX('2b. Dataset in R'!$H:$H,MATCH($A209,'2b. Dataset in R'!$A:$A,0)),PROPER($B209))</f>
        <v>Integer</v>
      </c>
    </row>
    <row r="210" spans="1:7" x14ac:dyDescent="0.3">
      <c r="A210" t="s">
        <v>1091</v>
      </c>
      <c r="B210" t="s">
        <v>277</v>
      </c>
      <c r="C210" t="s">
        <v>1091</v>
      </c>
      <c r="D210">
        <v>0</v>
      </c>
      <c r="E210">
        <v>0</v>
      </c>
      <c r="F210" s="4" t="s">
        <v>87</v>
      </c>
      <c r="G210" s="4" t="str">
        <f>IFERROR(INDEX('2b. Dataset in R'!$H:$H,MATCH($A210,'2b. Dataset in R'!$A:$A,0)),PROPER($B210))</f>
        <v>Integer</v>
      </c>
    </row>
    <row r="211" spans="1:7" x14ac:dyDescent="0.3">
      <c r="A211" t="s">
        <v>1092</v>
      </c>
      <c r="B211" t="s">
        <v>277</v>
      </c>
      <c r="C211" t="s">
        <v>1092</v>
      </c>
      <c r="D211">
        <v>0</v>
      </c>
      <c r="E211">
        <v>0</v>
      </c>
      <c r="F211" s="4" t="s">
        <v>87</v>
      </c>
      <c r="G211" s="4" t="str">
        <f>IFERROR(INDEX('2b. Dataset in R'!$H:$H,MATCH($A211,'2b. Dataset in R'!$A:$A,0)),PROPER($B211))</f>
        <v>Integer</v>
      </c>
    </row>
    <row r="212" spans="1:7" x14ac:dyDescent="0.3">
      <c r="A212" t="s">
        <v>1093</v>
      </c>
      <c r="B212" t="s">
        <v>277</v>
      </c>
      <c r="C212" t="s">
        <v>1093</v>
      </c>
      <c r="D212">
        <v>0</v>
      </c>
      <c r="E212">
        <v>0</v>
      </c>
      <c r="F212" s="4" t="s">
        <v>87</v>
      </c>
      <c r="G212" s="4" t="str">
        <f>IFERROR(INDEX('2b. Dataset in R'!$H:$H,MATCH($A212,'2b. Dataset in R'!$A:$A,0)),PROPER($B212))</f>
        <v>Integer</v>
      </c>
    </row>
    <row r="213" spans="1:7" x14ac:dyDescent="0.3">
      <c r="A213" t="s">
        <v>504</v>
      </c>
      <c r="B213" t="s">
        <v>276</v>
      </c>
      <c r="C213" t="s">
        <v>504</v>
      </c>
      <c r="D213">
        <v>0</v>
      </c>
      <c r="E213">
        <v>0</v>
      </c>
      <c r="G213" s="4" t="str">
        <f>IFERROR(INDEX('2b. Dataset in R'!$H:$H,MATCH($A213,'2b. Dataset in R'!$A:$A,0)),PROPER($B213))</f>
        <v>Character</v>
      </c>
    </row>
    <row r="214" spans="1:7" x14ac:dyDescent="0.3">
      <c r="A214" t="s">
        <v>1094</v>
      </c>
      <c r="B214" t="s">
        <v>277</v>
      </c>
      <c r="C214" t="s">
        <v>1094</v>
      </c>
      <c r="D214">
        <v>0</v>
      </c>
      <c r="E214">
        <v>0</v>
      </c>
      <c r="F214" s="4" t="s">
        <v>87</v>
      </c>
      <c r="G214" s="4" t="str">
        <f>IFERROR(INDEX('2b. Dataset in R'!$H:$H,MATCH($A214,'2b. Dataset in R'!$A:$A,0)),PROPER($B214))</f>
        <v>Integer</v>
      </c>
    </row>
    <row r="215" spans="1:7" x14ac:dyDescent="0.3">
      <c r="A215" t="s">
        <v>1095</v>
      </c>
      <c r="B215" t="s">
        <v>277</v>
      </c>
      <c r="C215" t="s">
        <v>1095</v>
      </c>
      <c r="D215">
        <v>0</v>
      </c>
      <c r="E215">
        <v>0</v>
      </c>
      <c r="G215" s="4" t="str">
        <f>IFERROR(INDEX('2b. Dataset in R'!$H:$H,MATCH($A215,'2b. Dataset in R'!$A:$A,0)),PROPER($B215))</f>
        <v>Integer</v>
      </c>
    </row>
    <row r="216" spans="1:7" x14ac:dyDescent="0.3">
      <c r="A216" t="s">
        <v>1096</v>
      </c>
      <c r="B216" t="s">
        <v>277</v>
      </c>
      <c r="C216" t="s">
        <v>1096</v>
      </c>
      <c r="D216">
        <v>0</v>
      </c>
      <c r="E216">
        <v>0</v>
      </c>
      <c r="F216" s="4" t="s">
        <v>87</v>
      </c>
      <c r="G216" s="4" t="str">
        <f>IFERROR(INDEX('2b. Dataset in R'!$H:$H,MATCH($A216,'2b. Dataset in R'!$A:$A,0)),PROPER($B216))</f>
        <v>Integer</v>
      </c>
    </row>
    <row r="217" spans="1:7" x14ac:dyDescent="0.3">
      <c r="A217" t="s">
        <v>505</v>
      </c>
      <c r="B217" t="s">
        <v>276</v>
      </c>
      <c r="C217" t="s">
        <v>505</v>
      </c>
      <c r="D217">
        <v>0</v>
      </c>
      <c r="E217">
        <v>0</v>
      </c>
      <c r="G217" s="4" t="str">
        <f>IFERROR(INDEX('2b. Dataset in R'!$H:$H,MATCH($A217,'2b. Dataset in R'!$A:$A,0)),PROPER($B217))</f>
        <v>Character</v>
      </c>
    </row>
    <row r="218" spans="1:7" x14ac:dyDescent="0.3">
      <c r="A218" t="s">
        <v>1097</v>
      </c>
      <c r="B218" t="s">
        <v>277</v>
      </c>
      <c r="C218" t="s">
        <v>1097</v>
      </c>
      <c r="D218">
        <v>0</v>
      </c>
      <c r="E218">
        <v>0</v>
      </c>
      <c r="F218" s="4" t="s">
        <v>87</v>
      </c>
      <c r="G218" s="4" t="str">
        <f>IFERROR(INDEX('2b. Dataset in R'!$H:$H,MATCH($A218,'2b. Dataset in R'!$A:$A,0)),PROPER($B218))</f>
        <v>Integer</v>
      </c>
    </row>
    <row r="219" spans="1:7" x14ac:dyDescent="0.3">
      <c r="A219" t="s">
        <v>1098</v>
      </c>
      <c r="B219" t="s">
        <v>277</v>
      </c>
      <c r="C219" t="s">
        <v>1098</v>
      </c>
      <c r="D219">
        <v>0</v>
      </c>
      <c r="E219">
        <v>0</v>
      </c>
      <c r="F219" s="4" t="s">
        <v>87</v>
      </c>
      <c r="G219" s="4" t="str">
        <f>IFERROR(INDEX('2b. Dataset in R'!$H:$H,MATCH($A219,'2b. Dataset in R'!$A:$A,0)),PROPER($B219))</f>
        <v>Integer</v>
      </c>
    </row>
    <row r="220" spans="1:7" x14ac:dyDescent="0.3">
      <c r="A220" t="s">
        <v>1099</v>
      </c>
      <c r="B220" t="s">
        <v>277</v>
      </c>
      <c r="C220" t="s">
        <v>1099</v>
      </c>
      <c r="D220">
        <v>0</v>
      </c>
      <c r="E220">
        <v>0</v>
      </c>
      <c r="F220" s="4" t="s">
        <v>87</v>
      </c>
      <c r="G220" s="4" t="str">
        <f>IFERROR(INDEX('2b. Dataset in R'!$H:$H,MATCH($A220,'2b. Dataset in R'!$A:$A,0)),PROPER($B220))</f>
        <v>Integer</v>
      </c>
    </row>
    <row r="221" spans="1:7" x14ac:dyDescent="0.3">
      <c r="A221" t="s">
        <v>1100</v>
      </c>
      <c r="B221" t="s">
        <v>277</v>
      </c>
      <c r="C221" t="s">
        <v>1100</v>
      </c>
      <c r="D221">
        <v>0</v>
      </c>
      <c r="E221">
        <v>0</v>
      </c>
      <c r="F221" s="4" t="s">
        <v>87</v>
      </c>
      <c r="G221" s="4" t="str">
        <f>IFERROR(INDEX('2b. Dataset in R'!$H:$H,MATCH($A221,'2b. Dataset in R'!$A:$A,0)),PROPER($B221))</f>
        <v>Integer</v>
      </c>
    </row>
    <row r="222" spans="1:7" x14ac:dyDescent="0.3">
      <c r="A222" t="s">
        <v>1101</v>
      </c>
      <c r="B222" t="s">
        <v>277</v>
      </c>
      <c r="C222" t="s">
        <v>1101</v>
      </c>
      <c r="D222">
        <v>0</v>
      </c>
      <c r="E222">
        <v>0</v>
      </c>
      <c r="F222" s="4" t="s">
        <v>87</v>
      </c>
      <c r="G222" s="4" t="str">
        <f>IFERROR(INDEX('2b. Dataset in R'!$H:$H,MATCH($A222,'2b. Dataset in R'!$A:$A,0)),PROPER($B222))</f>
        <v>Integer</v>
      </c>
    </row>
    <row r="223" spans="1:7" x14ac:dyDescent="0.3">
      <c r="A223" t="s">
        <v>1102</v>
      </c>
      <c r="B223" t="s">
        <v>277</v>
      </c>
      <c r="C223" t="s">
        <v>1102</v>
      </c>
      <c r="D223">
        <v>0</v>
      </c>
      <c r="E223">
        <v>0</v>
      </c>
      <c r="F223" s="4" t="s">
        <v>87</v>
      </c>
      <c r="G223" s="4" t="str">
        <f>IFERROR(INDEX('2b. Dataset in R'!$H:$H,MATCH($A223,'2b. Dataset in R'!$A:$A,0)),PROPER($B223))</f>
        <v>Integer</v>
      </c>
    </row>
    <row r="224" spans="1:7" x14ac:dyDescent="0.3">
      <c r="A224" t="s">
        <v>1103</v>
      </c>
      <c r="B224" t="s">
        <v>277</v>
      </c>
      <c r="C224" t="s">
        <v>1103</v>
      </c>
      <c r="D224">
        <v>0</v>
      </c>
      <c r="E224">
        <v>0</v>
      </c>
      <c r="F224" s="4" t="s">
        <v>87</v>
      </c>
      <c r="G224" s="4" t="str">
        <f>IFERROR(INDEX('2b. Dataset in R'!$H:$H,MATCH($A224,'2b. Dataset in R'!$A:$A,0)),PROPER($B224))</f>
        <v>Integer</v>
      </c>
    </row>
    <row r="225" spans="1:7" x14ac:dyDescent="0.3">
      <c r="A225" t="s">
        <v>1104</v>
      </c>
      <c r="B225" t="s">
        <v>277</v>
      </c>
      <c r="C225" t="s">
        <v>1104</v>
      </c>
      <c r="D225">
        <v>0</v>
      </c>
      <c r="E225">
        <v>0</v>
      </c>
      <c r="F225" s="4" t="s">
        <v>87</v>
      </c>
      <c r="G225" s="4" t="str">
        <f>IFERROR(INDEX('2b. Dataset in R'!$H:$H,MATCH($A225,'2b. Dataset in R'!$A:$A,0)),PROPER($B225))</f>
        <v>Integer</v>
      </c>
    </row>
    <row r="226" spans="1:7" x14ac:dyDescent="0.3">
      <c r="A226" t="s">
        <v>1105</v>
      </c>
      <c r="B226" t="s">
        <v>277</v>
      </c>
      <c r="C226" t="s">
        <v>1105</v>
      </c>
      <c r="D226">
        <v>0</v>
      </c>
      <c r="E226">
        <v>0</v>
      </c>
      <c r="F226" s="4" t="s">
        <v>87</v>
      </c>
      <c r="G226" s="4" t="str">
        <f>IFERROR(INDEX('2b. Dataset in R'!$H:$H,MATCH($A226,'2b. Dataset in R'!$A:$A,0)),PROPER($B226))</f>
        <v>Integer</v>
      </c>
    </row>
    <row r="227" spans="1:7" x14ac:dyDescent="0.3">
      <c r="A227" t="s">
        <v>1106</v>
      </c>
      <c r="B227" t="s">
        <v>277</v>
      </c>
      <c r="C227" t="s">
        <v>1106</v>
      </c>
      <c r="D227">
        <v>0</v>
      </c>
      <c r="E227">
        <v>0</v>
      </c>
      <c r="F227" s="4" t="s">
        <v>87</v>
      </c>
      <c r="G227" s="4" t="str">
        <f>IFERROR(INDEX('2b. Dataset in R'!$H:$H,MATCH($A227,'2b. Dataset in R'!$A:$A,0)),PROPER($B227))</f>
        <v>Integer</v>
      </c>
    </row>
    <row r="228" spans="1:7" x14ac:dyDescent="0.3">
      <c r="A228" t="s">
        <v>1107</v>
      </c>
      <c r="B228" t="s">
        <v>277</v>
      </c>
      <c r="C228" t="s">
        <v>1107</v>
      </c>
      <c r="D228">
        <v>0</v>
      </c>
      <c r="E228">
        <v>0</v>
      </c>
      <c r="F228" s="4" t="s">
        <v>87</v>
      </c>
      <c r="G228" s="4" t="str">
        <f>IFERROR(INDEX('2b. Dataset in R'!$H:$H,MATCH($A228,'2b. Dataset in R'!$A:$A,0)),PROPER($B228))</f>
        <v>Integer</v>
      </c>
    </row>
    <row r="229" spans="1:7" x14ac:dyDescent="0.3">
      <c r="A229" t="s">
        <v>1108</v>
      </c>
      <c r="B229" t="s">
        <v>277</v>
      </c>
      <c r="C229" t="s">
        <v>1108</v>
      </c>
      <c r="D229">
        <v>0</v>
      </c>
      <c r="E229">
        <v>0</v>
      </c>
      <c r="F229" s="4" t="s">
        <v>87</v>
      </c>
      <c r="G229" s="4" t="str">
        <f>IFERROR(INDEX('2b. Dataset in R'!$H:$H,MATCH($A229,'2b. Dataset in R'!$A:$A,0)),PROPER($B229))</f>
        <v>Integer</v>
      </c>
    </row>
    <row r="230" spans="1:7" x14ac:dyDescent="0.3">
      <c r="A230" t="s">
        <v>1109</v>
      </c>
      <c r="B230" t="s">
        <v>277</v>
      </c>
      <c r="C230" t="s">
        <v>1109</v>
      </c>
      <c r="D230">
        <v>0</v>
      </c>
      <c r="E230">
        <v>0</v>
      </c>
      <c r="F230" s="4" t="s">
        <v>87</v>
      </c>
      <c r="G230" s="4" t="str">
        <f>IFERROR(INDEX('2b. Dataset in R'!$H:$H,MATCH($A230,'2b. Dataset in R'!$A:$A,0)),PROPER($B230))</f>
        <v>Integer</v>
      </c>
    </row>
    <row r="231" spans="1:7" x14ac:dyDescent="0.3">
      <c r="A231" t="s">
        <v>1110</v>
      </c>
      <c r="B231" t="s">
        <v>277</v>
      </c>
      <c r="C231" t="s">
        <v>1110</v>
      </c>
      <c r="D231">
        <v>0</v>
      </c>
      <c r="E231">
        <v>0</v>
      </c>
      <c r="F231" s="4" t="s">
        <v>87</v>
      </c>
      <c r="G231" s="4" t="str">
        <f>IFERROR(INDEX('2b. Dataset in R'!$H:$H,MATCH($A231,'2b. Dataset in R'!$A:$A,0)),PROPER($B231))</f>
        <v>Integer</v>
      </c>
    </row>
    <row r="232" spans="1:7" x14ac:dyDescent="0.3">
      <c r="A232" t="s">
        <v>1111</v>
      </c>
      <c r="B232" t="s">
        <v>277</v>
      </c>
      <c r="C232" t="s">
        <v>1111</v>
      </c>
      <c r="D232">
        <v>0</v>
      </c>
      <c r="E232">
        <v>0</v>
      </c>
      <c r="F232" s="4" t="s">
        <v>87</v>
      </c>
      <c r="G232" s="4" t="str">
        <f>IFERROR(INDEX('2b. Dataset in R'!$H:$H,MATCH($A232,'2b. Dataset in R'!$A:$A,0)),PROPER($B232))</f>
        <v>Integer</v>
      </c>
    </row>
    <row r="233" spans="1:7" x14ac:dyDescent="0.3">
      <c r="A233" t="s">
        <v>1112</v>
      </c>
      <c r="B233" t="s">
        <v>277</v>
      </c>
      <c r="C233" t="s">
        <v>1112</v>
      </c>
      <c r="D233">
        <v>0</v>
      </c>
      <c r="E233">
        <v>0</v>
      </c>
      <c r="F233" s="4" t="s">
        <v>87</v>
      </c>
      <c r="G233" s="4" t="str">
        <f>IFERROR(INDEX('2b. Dataset in R'!$H:$H,MATCH($A233,'2b. Dataset in R'!$A:$A,0)),PROPER($B233))</f>
        <v>Integer</v>
      </c>
    </row>
    <row r="234" spans="1:7" x14ac:dyDescent="0.3">
      <c r="A234" t="s">
        <v>1113</v>
      </c>
      <c r="B234" t="s">
        <v>277</v>
      </c>
      <c r="C234" t="s">
        <v>1113</v>
      </c>
      <c r="D234">
        <v>0</v>
      </c>
      <c r="E234">
        <v>0</v>
      </c>
      <c r="F234" s="4" t="s">
        <v>87</v>
      </c>
      <c r="G234" s="4" t="str">
        <f>IFERROR(INDEX('2b. Dataset in R'!$H:$H,MATCH($A234,'2b. Dataset in R'!$A:$A,0)),PROPER($B234))</f>
        <v>Integer</v>
      </c>
    </row>
    <row r="235" spans="1:7" x14ac:dyDescent="0.3">
      <c r="A235" t="s">
        <v>1114</v>
      </c>
      <c r="B235" t="s">
        <v>277</v>
      </c>
      <c r="C235" t="s">
        <v>1114</v>
      </c>
      <c r="D235">
        <v>0</v>
      </c>
      <c r="E235">
        <v>0</v>
      </c>
      <c r="F235" s="4" t="s">
        <v>87</v>
      </c>
      <c r="G235" s="4" t="str">
        <f>IFERROR(INDEX('2b. Dataset in R'!$H:$H,MATCH($A235,'2b. Dataset in R'!$A:$A,0)),PROPER($B235))</f>
        <v>Integer</v>
      </c>
    </row>
    <row r="236" spans="1:7" x14ac:dyDescent="0.3">
      <c r="A236" t="s">
        <v>1115</v>
      </c>
      <c r="B236" t="s">
        <v>277</v>
      </c>
      <c r="C236" t="s">
        <v>1115</v>
      </c>
      <c r="D236">
        <v>0</v>
      </c>
      <c r="E236">
        <v>0</v>
      </c>
      <c r="F236" s="4" t="s">
        <v>87</v>
      </c>
      <c r="G236" s="4" t="str">
        <f>IFERROR(INDEX('2b. Dataset in R'!$H:$H,MATCH($A236,'2b. Dataset in R'!$A:$A,0)),PROPER($B236))</f>
        <v>Integer</v>
      </c>
    </row>
    <row r="237" spans="1:7" x14ac:dyDescent="0.3">
      <c r="A237" t="s">
        <v>1116</v>
      </c>
      <c r="B237" t="s">
        <v>277</v>
      </c>
      <c r="C237" t="s">
        <v>1116</v>
      </c>
      <c r="D237">
        <v>0</v>
      </c>
      <c r="E237">
        <v>0</v>
      </c>
      <c r="F237" s="4" t="s">
        <v>87</v>
      </c>
      <c r="G237" s="4" t="str">
        <f>IFERROR(INDEX('2b. Dataset in R'!$H:$H,MATCH($A237,'2b. Dataset in R'!$A:$A,0)),PROPER($B237))</f>
        <v>Integer</v>
      </c>
    </row>
    <row r="238" spans="1:7" x14ac:dyDescent="0.3">
      <c r="A238" t="s">
        <v>1117</v>
      </c>
      <c r="B238" t="s">
        <v>277</v>
      </c>
      <c r="C238" t="s">
        <v>1117</v>
      </c>
      <c r="D238">
        <v>0</v>
      </c>
      <c r="E238">
        <v>0</v>
      </c>
      <c r="G238" s="4" t="str">
        <f>IFERROR(INDEX('2b. Dataset in R'!$H:$H,MATCH($A238,'2b. Dataset in R'!$A:$A,0)),PROPER($B238))</f>
        <v>Integer</v>
      </c>
    </row>
    <row r="239" spans="1:7" x14ac:dyDescent="0.3">
      <c r="A239" t="s">
        <v>1118</v>
      </c>
      <c r="B239" t="s">
        <v>277</v>
      </c>
      <c r="C239" t="s">
        <v>1118</v>
      </c>
      <c r="D239">
        <v>0</v>
      </c>
      <c r="E239">
        <v>0</v>
      </c>
      <c r="F239" s="4" t="s">
        <v>87</v>
      </c>
      <c r="G239" s="4" t="str">
        <f>IFERROR(INDEX('2b. Dataset in R'!$H:$H,MATCH($A239,'2b. Dataset in R'!$A:$A,0)),PROPER($B239))</f>
        <v>Integer</v>
      </c>
    </row>
    <row r="240" spans="1:7" x14ac:dyDescent="0.3">
      <c r="A240" t="s">
        <v>1119</v>
      </c>
      <c r="B240" t="s">
        <v>277</v>
      </c>
      <c r="C240" t="s">
        <v>1119</v>
      </c>
      <c r="D240">
        <v>0</v>
      </c>
      <c r="E240">
        <v>0</v>
      </c>
      <c r="F240" s="4" t="s">
        <v>87</v>
      </c>
      <c r="G240" s="4" t="str">
        <f>IFERROR(INDEX('2b. Dataset in R'!$H:$H,MATCH($A240,'2b. Dataset in R'!$A:$A,0)),PROPER($B240))</f>
        <v>Integer</v>
      </c>
    </row>
    <row r="241" spans="1:7" x14ac:dyDescent="0.3">
      <c r="A241" t="s">
        <v>1120</v>
      </c>
      <c r="B241" t="s">
        <v>277</v>
      </c>
      <c r="C241" t="s">
        <v>1120</v>
      </c>
      <c r="D241">
        <v>0</v>
      </c>
      <c r="E241">
        <v>0</v>
      </c>
      <c r="F241" s="4" t="s">
        <v>87</v>
      </c>
      <c r="G241" s="4" t="str">
        <f>IFERROR(INDEX('2b. Dataset in R'!$H:$H,MATCH($A241,'2b. Dataset in R'!$A:$A,0)),PROPER($B241))</f>
        <v>Integer</v>
      </c>
    </row>
    <row r="242" spans="1:7" x14ac:dyDescent="0.3">
      <c r="A242" t="s">
        <v>1121</v>
      </c>
      <c r="B242" t="s">
        <v>277</v>
      </c>
      <c r="C242" t="s">
        <v>1121</v>
      </c>
      <c r="D242">
        <v>0</v>
      </c>
      <c r="E242">
        <v>0</v>
      </c>
      <c r="F242" s="4" t="s">
        <v>87</v>
      </c>
      <c r="G242" s="4" t="str">
        <f>IFERROR(INDEX('2b. Dataset in R'!$H:$H,MATCH($A242,'2b. Dataset in R'!$A:$A,0)),PROPER($B242))</f>
        <v>Integer</v>
      </c>
    </row>
    <row r="243" spans="1:7" x14ac:dyDescent="0.3">
      <c r="A243" t="s">
        <v>1122</v>
      </c>
      <c r="B243" t="s">
        <v>277</v>
      </c>
      <c r="C243" t="s">
        <v>1122</v>
      </c>
      <c r="D243">
        <v>0</v>
      </c>
      <c r="E243">
        <v>0</v>
      </c>
      <c r="F243" s="4" t="s">
        <v>87</v>
      </c>
      <c r="G243" s="4" t="str">
        <f>IFERROR(INDEX('2b. Dataset in R'!$H:$H,MATCH($A243,'2b. Dataset in R'!$A:$A,0)),PROPER($B243))</f>
        <v>Integer</v>
      </c>
    </row>
    <row r="244" spans="1:7" x14ac:dyDescent="0.3">
      <c r="A244" t="s">
        <v>1123</v>
      </c>
      <c r="B244" t="s">
        <v>277</v>
      </c>
      <c r="C244" t="s">
        <v>1123</v>
      </c>
      <c r="D244">
        <v>0</v>
      </c>
      <c r="E244">
        <v>0</v>
      </c>
      <c r="F244" s="4" t="s">
        <v>87</v>
      </c>
      <c r="G244" s="4" t="str">
        <f>IFERROR(INDEX('2b. Dataset in R'!$H:$H,MATCH($A244,'2b. Dataset in R'!$A:$A,0)),PROPER($B244))</f>
        <v>Integer</v>
      </c>
    </row>
    <row r="245" spans="1:7" x14ac:dyDescent="0.3">
      <c r="A245" t="s">
        <v>1124</v>
      </c>
      <c r="B245" t="s">
        <v>277</v>
      </c>
      <c r="C245" t="s">
        <v>1124</v>
      </c>
      <c r="D245">
        <v>0</v>
      </c>
      <c r="E245">
        <v>0</v>
      </c>
      <c r="F245" s="4" t="s">
        <v>87</v>
      </c>
      <c r="G245" s="4" t="str">
        <f>IFERROR(INDEX('2b. Dataset in R'!$H:$H,MATCH($A245,'2b. Dataset in R'!$A:$A,0)),PROPER($B245))</f>
        <v>Integer</v>
      </c>
    </row>
    <row r="246" spans="1:7" x14ac:dyDescent="0.3">
      <c r="A246" t="s">
        <v>1125</v>
      </c>
      <c r="B246" t="s">
        <v>277</v>
      </c>
      <c r="C246" t="s">
        <v>1125</v>
      </c>
      <c r="D246">
        <v>0</v>
      </c>
      <c r="E246">
        <v>0</v>
      </c>
      <c r="F246" s="4" t="s">
        <v>87</v>
      </c>
      <c r="G246" s="4" t="str">
        <f>IFERROR(INDEX('2b. Dataset in R'!$H:$H,MATCH($A246,'2b. Dataset in R'!$A:$A,0)),PROPER($B246))</f>
        <v>Integer</v>
      </c>
    </row>
    <row r="247" spans="1:7" x14ac:dyDescent="0.3">
      <c r="A247" t="s">
        <v>1126</v>
      </c>
      <c r="B247" t="s">
        <v>277</v>
      </c>
      <c r="C247" t="s">
        <v>1126</v>
      </c>
      <c r="D247">
        <v>0</v>
      </c>
      <c r="E247">
        <v>0</v>
      </c>
      <c r="F247" s="4" t="s">
        <v>87</v>
      </c>
      <c r="G247" s="4" t="str">
        <f>IFERROR(INDEX('2b. Dataset in R'!$H:$H,MATCH($A247,'2b. Dataset in R'!$A:$A,0)),PROPER($B247))</f>
        <v>Integer</v>
      </c>
    </row>
    <row r="248" spans="1:7" x14ac:dyDescent="0.3">
      <c r="A248" t="s">
        <v>1127</v>
      </c>
      <c r="B248" t="s">
        <v>277</v>
      </c>
      <c r="C248" t="s">
        <v>1127</v>
      </c>
      <c r="D248">
        <v>0</v>
      </c>
      <c r="E248">
        <v>0</v>
      </c>
      <c r="F248" s="4" t="s">
        <v>87</v>
      </c>
      <c r="G248" s="4" t="str">
        <f>IFERROR(INDEX('2b. Dataset in R'!$H:$H,MATCH($A248,'2b. Dataset in R'!$A:$A,0)),PROPER($B248))</f>
        <v>Integer</v>
      </c>
    </row>
    <row r="249" spans="1:7" x14ac:dyDescent="0.3">
      <c r="A249" t="s">
        <v>1128</v>
      </c>
      <c r="B249" t="s">
        <v>277</v>
      </c>
      <c r="C249" t="s">
        <v>1128</v>
      </c>
      <c r="D249">
        <v>0</v>
      </c>
      <c r="E249">
        <v>0</v>
      </c>
      <c r="F249" s="4" t="s">
        <v>87</v>
      </c>
      <c r="G249" s="4" t="str">
        <f>IFERROR(INDEX('2b. Dataset in R'!$H:$H,MATCH($A249,'2b. Dataset in R'!$A:$A,0)),PROPER($B249))</f>
        <v>Integer</v>
      </c>
    </row>
    <row r="250" spans="1:7" x14ac:dyDescent="0.3">
      <c r="A250" t="s">
        <v>1129</v>
      </c>
      <c r="B250" t="s">
        <v>277</v>
      </c>
      <c r="C250" t="s">
        <v>1129</v>
      </c>
      <c r="D250">
        <v>0</v>
      </c>
      <c r="E250">
        <v>0</v>
      </c>
      <c r="F250" s="4" t="s">
        <v>87</v>
      </c>
      <c r="G250" s="4" t="str">
        <f>IFERROR(INDEX('2b. Dataset in R'!$H:$H,MATCH($A250,'2b. Dataset in R'!$A:$A,0)),PROPER($B250))</f>
        <v>Integer</v>
      </c>
    </row>
    <row r="251" spans="1:7" x14ac:dyDescent="0.3">
      <c r="A251" t="s">
        <v>1130</v>
      </c>
      <c r="B251" t="s">
        <v>277</v>
      </c>
      <c r="C251" t="s">
        <v>1130</v>
      </c>
      <c r="D251">
        <v>0</v>
      </c>
      <c r="E251">
        <v>0</v>
      </c>
      <c r="F251" s="4" t="s">
        <v>87</v>
      </c>
      <c r="G251" s="4" t="str">
        <f>IFERROR(INDEX('2b. Dataset in R'!$H:$H,MATCH($A251,'2b. Dataset in R'!$A:$A,0)),PROPER($B251))</f>
        <v>Integer</v>
      </c>
    </row>
    <row r="252" spans="1:7" x14ac:dyDescent="0.3">
      <c r="A252" t="s">
        <v>1131</v>
      </c>
      <c r="B252" t="s">
        <v>277</v>
      </c>
      <c r="C252" t="s">
        <v>1131</v>
      </c>
      <c r="D252">
        <v>0</v>
      </c>
      <c r="E252">
        <v>0</v>
      </c>
      <c r="F252" s="4" t="s">
        <v>87</v>
      </c>
      <c r="G252" s="4" t="str">
        <f>IFERROR(INDEX('2b. Dataset in R'!$H:$H,MATCH($A252,'2b. Dataset in R'!$A:$A,0)),PROPER($B252))</f>
        <v>Integer</v>
      </c>
    </row>
    <row r="253" spans="1:7" x14ac:dyDescent="0.3">
      <c r="A253" t="s">
        <v>1132</v>
      </c>
      <c r="B253" t="s">
        <v>277</v>
      </c>
      <c r="C253" t="s">
        <v>1132</v>
      </c>
      <c r="D253">
        <v>0</v>
      </c>
      <c r="E253">
        <v>0</v>
      </c>
      <c r="F253" s="4" t="s">
        <v>87</v>
      </c>
      <c r="G253" s="4" t="str">
        <f>IFERROR(INDEX('2b. Dataset in R'!$H:$H,MATCH($A253,'2b. Dataset in R'!$A:$A,0)),PROPER($B253))</f>
        <v>Integer</v>
      </c>
    </row>
    <row r="254" spans="1:7" x14ac:dyDescent="0.3">
      <c r="A254" t="s">
        <v>509</v>
      </c>
      <c r="B254" t="s">
        <v>276</v>
      </c>
      <c r="C254" t="s">
        <v>509</v>
      </c>
      <c r="D254">
        <v>0</v>
      </c>
      <c r="E254">
        <v>0</v>
      </c>
      <c r="G254" s="4" t="str">
        <f>IFERROR(INDEX('2b. Dataset in R'!$H:$H,MATCH($A254,'2b. Dataset in R'!$A:$A,0)),PROPER($B254))</f>
        <v>Character</v>
      </c>
    </row>
    <row r="255" spans="1:7" x14ac:dyDescent="0.3">
      <c r="A255" t="s">
        <v>1133</v>
      </c>
      <c r="B255" t="s">
        <v>277</v>
      </c>
      <c r="C255" t="s">
        <v>1133</v>
      </c>
      <c r="D255">
        <v>0</v>
      </c>
      <c r="E255">
        <v>0</v>
      </c>
      <c r="F255" s="4" t="s">
        <v>87</v>
      </c>
      <c r="G255" s="4" t="str">
        <f>IFERROR(INDEX('2b. Dataset in R'!$H:$H,MATCH($A255,'2b. Dataset in R'!$A:$A,0)),PROPER($B255))</f>
        <v>Integer</v>
      </c>
    </row>
    <row r="256" spans="1:7" x14ac:dyDescent="0.3">
      <c r="A256" t="s">
        <v>1134</v>
      </c>
      <c r="B256" t="s">
        <v>277</v>
      </c>
      <c r="C256" t="s">
        <v>1134</v>
      </c>
      <c r="D256">
        <v>0</v>
      </c>
      <c r="E256">
        <v>0</v>
      </c>
      <c r="G256" s="4" t="str">
        <f>IFERROR(INDEX('2b. Dataset in R'!$H:$H,MATCH($A256,'2b. Dataset in R'!$A:$A,0)),PROPER($B256))</f>
        <v>Integer</v>
      </c>
    </row>
    <row r="257" spans="1:7" x14ac:dyDescent="0.3">
      <c r="A257" t="s">
        <v>1135</v>
      </c>
      <c r="B257" t="s">
        <v>277</v>
      </c>
      <c r="C257" t="s">
        <v>1135</v>
      </c>
      <c r="D257">
        <v>0</v>
      </c>
      <c r="E257">
        <v>0</v>
      </c>
      <c r="F257" s="4" t="s">
        <v>87</v>
      </c>
      <c r="G257" s="4" t="str">
        <f>IFERROR(INDEX('2b. Dataset in R'!$H:$H,MATCH($A257,'2b. Dataset in R'!$A:$A,0)),PROPER($B257))</f>
        <v>Integer</v>
      </c>
    </row>
    <row r="258" spans="1:7" x14ac:dyDescent="0.3">
      <c r="A258" t="s">
        <v>510</v>
      </c>
      <c r="B258" t="s">
        <v>276</v>
      </c>
      <c r="C258" t="s">
        <v>510</v>
      </c>
      <c r="D258">
        <v>0</v>
      </c>
      <c r="E258">
        <v>0</v>
      </c>
      <c r="G258" s="4" t="str">
        <f>IFERROR(INDEX('2b. Dataset in R'!$H:$H,MATCH($A258,'2b. Dataset in R'!$A:$A,0)),PROPER($B258))</f>
        <v>Character</v>
      </c>
    </row>
    <row r="259" spans="1:7" x14ac:dyDescent="0.3">
      <c r="A259" t="s">
        <v>1136</v>
      </c>
      <c r="B259" t="s">
        <v>277</v>
      </c>
      <c r="C259" t="s">
        <v>1136</v>
      </c>
      <c r="D259">
        <v>0</v>
      </c>
      <c r="E259">
        <v>0</v>
      </c>
      <c r="F259" s="4" t="s">
        <v>87</v>
      </c>
      <c r="G259" s="4" t="str">
        <f>IFERROR(INDEX('2b. Dataset in R'!$H:$H,MATCH($A259,'2b. Dataset in R'!$A:$A,0)),PROPER($B259))</f>
        <v>Integer</v>
      </c>
    </row>
    <row r="260" spans="1:7" x14ac:dyDescent="0.3">
      <c r="A260" t="s">
        <v>1137</v>
      </c>
      <c r="B260" t="s">
        <v>277</v>
      </c>
      <c r="C260" t="s">
        <v>1137</v>
      </c>
      <c r="D260">
        <v>0</v>
      </c>
      <c r="E260">
        <v>0</v>
      </c>
      <c r="F260" s="4" t="s">
        <v>87</v>
      </c>
      <c r="G260" s="4" t="str">
        <f>IFERROR(INDEX('2b. Dataset in R'!$H:$H,MATCH($A260,'2b. Dataset in R'!$A:$A,0)),PROPER($B260))</f>
        <v>Integer</v>
      </c>
    </row>
    <row r="261" spans="1:7" x14ac:dyDescent="0.3">
      <c r="A261" t="s">
        <v>1138</v>
      </c>
      <c r="B261" t="s">
        <v>277</v>
      </c>
      <c r="C261" t="s">
        <v>1138</v>
      </c>
      <c r="D261">
        <v>0</v>
      </c>
      <c r="E261">
        <v>0</v>
      </c>
      <c r="F261" s="4" t="s">
        <v>87</v>
      </c>
      <c r="G261" s="4" t="str">
        <f>IFERROR(INDEX('2b. Dataset in R'!$H:$H,MATCH($A261,'2b. Dataset in R'!$A:$A,0)),PROPER($B261))</f>
        <v>Integer</v>
      </c>
    </row>
    <row r="262" spans="1:7" x14ac:dyDescent="0.3">
      <c r="A262" t="s">
        <v>1139</v>
      </c>
      <c r="B262" t="s">
        <v>277</v>
      </c>
      <c r="C262" t="s">
        <v>1139</v>
      </c>
      <c r="D262">
        <v>0</v>
      </c>
      <c r="E262">
        <v>0</v>
      </c>
      <c r="F262" s="4" t="s">
        <v>87</v>
      </c>
      <c r="G262" s="4" t="str">
        <f>IFERROR(INDEX('2b. Dataset in R'!$H:$H,MATCH($A262,'2b. Dataset in R'!$A:$A,0)),PROPER($B262))</f>
        <v>Integer</v>
      </c>
    </row>
    <row r="263" spans="1:7" x14ac:dyDescent="0.3">
      <c r="A263" t="s">
        <v>1140</v>
      </c>
      <c r="B263" t="s">
        <v>277</v>
      </c>
      <c r="C263" t="s">
        <v>1140</v>
      </c>
      <c r="D263">
        <v>0</v>
      </c>
      <c r="E263">
        <v>0</v>
      </c>
      <c r="F263" s="4" t="s">
        <v>87</v>
      </c>
      <c r="G263" s="4" t="str">
        <f>IFERROR(INDEX('2b. Dataset in R'!$H:$H,MATCH($A263,'2b. Dataset in R'!$A:$A,0)),PROPER($B263))</f>
        <v>Integer</v>
      </c>
    </row>
    <row r="264" spans="1:7" x14ac:dyDescent="0.3">
      <c r="A264" t="s">
        <v>1141</v>
      </c>
      <c r="B264" t="s">
        <v>277</v>
      </c>
      <c r="C264" t="s">
        <v>1141</v>
      </c>
      <c r="D264">
        <v>0</v>
      </c>
      <c r="E264">
        <v>0</v>
      </c>
      <c r="F264" s="4" t="s">
        <v>87</v>
      </c>
      <c r="G264" s="4" t="str">
        <f>IFERROR(INDEX('2b. Dataset in R'!$H:$H,MATCH($A264,'2b. Dataset in R'!$A:$A,0)),PROPER($B264))</f>
        <v>Integer</v>
      </c>
    </row>
    <row r="265" spans="1:7" x14ac:dyDescent="0.3">
      <c r="A265" t="s">
        <v>1142</v>
      </c>
      <c r="B265" t="s">
        <v>277</v>
      </c>
      <c r="C265" t="s">
        <v>1142</v>
      </c>
      <c r="D265">
        <v>0</v>
      </c>
      <c r="E265">
        <v>0</v>
      </c>
      <c r="F265" s="4" t="s">
        <v>87</v>
      </c>
      <c r="G265" s="4" t="str">
        <f>IFERROR(INDEX('2b. Dataset in R'!$H:$H,MATCH($A265,'2b. Dataset in R'!$A:$A,0)),PROPER($B265))</f>
        <v>Integer</v>
      </c>
    </row>
    <row r="266" spans="1:7" x14ac:dyDescent="0.3">
      <c r="A266" t="s">
        <v>1143</v>
      </c>
      <c r="B266" t="s">
        <v>277</v>
      </c>
      <c r="C266" t="s">
        <v>1143</v>
      </c>
      <c r="D266">
        <v>0</v>
      </c>
      <c r="E266">
        <v>0</v>
      </c>
      <c r="F266" s="4" t="s">
        <v>87</v>
      </c>
      <c r="G266" s="4" t="str">
        <f>IFERROR(INDEX('2b. Dataset in R'!$H:$H,MATCH($A266,'2b. Dataset in R'!$A:$A,0)),PROPER($B266))</f>
        <v>Integer</v>
      </c>
    </row>
    <row r="267" spans="1:7" x14ac:dyDescent="0.3">
      <c r="A267" t="s">
        <v>1144</v>
      </c>
      <c r="B267" t="s">
        <v>277</v>
      </c>
      <c r="C267" t="s">
        <v>1144</v>
      </c>
      <c r="D267">
        <v>0</v>
      </c>
      <c r="E267">
        <v>0</v>
      </c>
      <c r="F267" s="4" t="s">
        <v>87</v>
      </c>
      <c r="G267" s="4" t="str">
        <f>IFERROR(INDEX('2b. Dataset in R'!$H:$H,MATCH($A267,'2b. Dataset in R'!$A:$A,0)),PROPER($B267))</f>
        <v>Integer</v>
      </c>
    </row>
    <row r="268" spans="1:7" x14ac:dyDescent="0.3">
      <c r="A268" t="s">
        <v>1145</v>
      </c>
      <c r="B268" t="s">
        <v>277</v>
      </c>
      <c r="C268" t="s">
        <v>1145</v>
      </c>
      <c r="D268">
        <v>0</v>
      </c>
      <c r="E268">
        <v>0</v>
      </c>
      <c r="F268" s="4" t="s">
        <v>87</v>
      </c>
      <c r="G268" s="4" t="str">
        <f>IFERROR(INDEX('2b. Dataset in R'!$H:$H,MATCH($A268,'2b. Dataset in R'!$A:$A,0)),PROPER($B268))</f>
        <v>Integer</v>
      </c>
    </row>
    <row r="269" spans="1:7" x14ac:dyDescent="0.3">
      <c r="A269" t="s">
        <v>1146</v>
      </c>
      <c r="B269" t="s">
        <v>277</v>
      </c>
      <c r="C269" t="s">
        <v>1146</v>
      </c>
      <c r="D269">
        <v>0</v>
      </c>
      <c r="E269">
        <v>0</v>
      </c>
      <c r="F269" s="4" t="s">
        <v>87</v>
      </c>
      <c r="G269" s="4" t="str">
        <f>IFERROR(INDEX('2b. Dataset in R'!$H:$H,MATCH($A269,'2b. Dataset in R'!$A:$A,0)),PROPER($B269))</f>
        <v>Integer</v>
      </c>
    </row>
    <row r="270" spans="1:7" x14ac:dyDescent="0.3">
      <c r="A270" t="s">
        <v>1147</v>
      </c>
      <c r="B270" t="s">
        <v>277</v>
      </c>
      <c r="C270" t="s">
        <v>1147</v>
      </c>
      <c r="D270">
        <v>0</v>
      </c>
      <c r="E270">
        <v>0</v>
      </c>
      <c r="G270" s="4" t="str">
        <f>IFERROR(INDEX('2b. Dataset in R'!$H:$H,MATCH($A270,'2b. Dataset in R'!$A:$A,0)),PROPER($B270))</f>
        <v>Integer</v>
      </c>
    </row>
    <row r="271" spans="1:7" x14ac:dyDescent="0.3">
      <c r="A271" t="s">
        <v>1148</v>
      </c>
      <c r="B271" t="s">
        <v>277</v>
      </c>
      <c r="C271" t="s">
        <v>1148</v>
      </c>
      <c r="D271">
        <v>0</v>
      </c>
      <c r="E271">
        <v>0</v>
      </c>
      <c r="F271" s="4" t="s">
        <v>87</v>
      </c>
      <c r="G271" s="4" t="str">
        <f>IFERROR(INDEX('2b. Dataset in R'!$H:$H,MATCH($A271,'2b. Dataset in R'!$A:$A,0)),PROPER($B271))</f>
        <v>Integer</v>
      </c>
    </row>
    <row r="272" spans="1:7" x14ac:dyDescent="0.3">
      <c r="A272" t="s">
        <v>1149</v>
      </c>
      <c r="B272" t="s">
        <v>277</v>
      </c>
      <c r="C272" t="s">
        <v>1149</v>
      </c>
      <c r="D272">
        <v>0</v>
      </c>
      <c r="E272">
        <v>0</v>
      </c>
      <c r="F272" s="4" t="s">
        <v>87</v>
      </c>
      <c r="G272" s="4" t="str">
        <f>IFERROR(INDEX('2b. Dataset in R'!$H:$H,MATCH($A272,'2b. Dataset in R'!$A:$A,0)),PROPER($B272))</f>
        <v>Integer</v>
      </c>
    </row>
    <row r="273" spans="1:7" x14ac:dyDescent="0.3">
      <c r="A273" t="s">
        <v>1150</v>
      </c>
      <c r="B273" t="s">
        <v>277</v>
      </c>
      <c r="C273" t="s">
        <v>1150</v>
      </c>
      <c r="D273">
        <v>0</v>
      </c>
      <c r="E273">
        <v>0</v>
      </c>
      <c r="F273" s="4" t="s">
        <v>87</v>
      </c>
      <c r="G273" s="4" t="str">
        <f>IFERROR(INDEX('2b. Dataset in R'!$H:$H,MATCH($A273,'2b. Dataset in R'!$A:$A,0)),PROPER($B273))</f>
        <v>Integer</v>
      </c>
    </row>
    <row r="274" spans="1:7" x14ac:dyDescent="0.3">
      <c r="A274" t="s">
        <v>1151</v>
      </c>
      <c r="B274" t="s">
        <v>277</v>
      </c>
      <c r="C274" t="s">
        <v>1151</v>
      </c>
      <c r="D274">
        <v>0</v>
      </c>
      <c r="E274">
        <v>0</v>
      </c>
      <c r="F274" s="4" t="s">
        <v>87</v>
      </c>
      <c r="G274" s="4" t="str">
        <f>IFERROR(INDEX('2b. Dataset in R'!$H:$H,MATCH($A274,'2b. Dataset in R'!$A:$A,0)),PROPER($B274))</f>
        <v>Integer</v>
      </c>
    </row>
    <row r="275" spans="1:7" x14ac:dyDescent="0.3">
      <c r="A275" t="s">
        <v>1152</v>
      </c>
      <c r="B275" t="s">
        <v>277</v>
      </c>
      <c r="C275" t="s">
        <v>1152</v>
      </c>
      <c r="D275">
        <v>0</v>
      </c>
      <c r="E275">
        <v>0</v>
      </c>
      <c r="F275" s="4" t="s">
        <v>87</v>
      </c>
      <c r="G275" s="4" t="str">
        <f>IFERROR(INDEX('2b. Dataset in R'!$H:$H,MATCH($A275,'2b. Dataset in R'!$A:$A,0)),PROPER($B275))</f>
        <v>Integer</v>
      </c>
    </row>
    <row r="276" spans="1:7" x14ac:dyDescent="0.3">
      <c r="A276" t="s">
        <v>1153</v>
      </c>
      <c r="B276" t="s">
        <v>277</v>
      </c>
      <c r="C276" t="s">
        <v>1153</v>
      </c>
      <c r="D276">
        <v>0</v>
      </c>
      <c r="E276">
        <v>0</v>
      </c>
      <c r="F276" s="4" t="s">
        <v>87</v>
      </c>
      <c r="G276" s="4" t="str">
        <f>IFERROR(INDEX('2b. Dataset in R'!$H:$H,MATCH($A276,'2b. Dataset in R'!$A:$A,0)),PROPER($B276))</f>
        <v>Integer</v>
      </c>
    </row>
    <row r="277" spans="1:7" x14ac:dyDescent="0.3">
      <c r="A277" t="s">
        <v>1154</v>
      </c>
      <c r="B277" t="s">
        <v>277</v>
      </c>
      <c r="C277" t="s">
        <v>1154</v>
      </c>
      <c r="D277">
        <v>0</v>
      </c>
      <c r="E277">
        <v>0</v>
      </c>
      <c r="F277" s="4" t="s">
        <v>87</v>
      </c>
      <c r="G277" s="4" t="str">
        <f>IFERROR(INDEX('2b. Dataset in R'!$H:$H,MATCH($A277,'2b. Dataset in R'!$A:$A,0)),PROPER($B277))</f>
        <v>Integer</v>
      </c>
    </row>
    <row r="278" spans="1:7" x14ac:dyDescent="0.3">
      <c r="A278" t="s">
        <v>1155</v>
      </c>
      <c r="B278" t="s">
        <v>277</v>
      </c>
      <c r="C278" t="s">
        <v>1155</v>
      </c>
      <c r="D278">
        <v>0</v>
      </c>
      <c r="E278">
        <v>0</v>
      </c>
      <c r="F278" s="4" t="s">
        <v>87</v>
      </c>
      <c r="G278" s="4" t="str">
        <f>IFERROR(INDEX('2b. Dataset in R'!$H:$H,MATCH($A278,'2b. Dataset in R'!$A:$A,0)),PROPER($B278))</f>
        <v>Integer</v>
      </c>
    </row>
    <row r="279" spans="1:7" x14ac:dyDescent="0.3">
      <c r="A279" t="s">
        <v>1156</v>
      </c>
      <c r="B279" t="s">
        <v>277</v>
      </c>
      <c r="C279" t="s">
        <v>1156</v>
      </c>
      <c r="D279">
        <v>0</v>
      </c>
      <c r="E279">
        <v>0</v>
      </c>
      <c r="F279" s="4" t="s">
        <v>87</v>
      </c>
      <c r="G279" s="4" t="str">
        <f>IFERROR(INDEX('2b. Dataset in R'!$H:$H,MATCH($A279,'2b. Dataset in R'!$A:$A,0)),PROPER($B279))</f>
        <v>Integer</v>
      </c>
    </row>
    <row r="280" spans="1:7" x14ac:dyDescent="0.3">
      <c r="A280" t="s">
        <v>1157</v>
      </c>
      <c r="B280" t="s">
        <v>277</v>
      </c>
      <c r="C280" t="s">
        <v>1157</v>
      </c>
      <c r="D280">
        <v>0</v>
      </c>
      <c r="E280">
        <v>0</v>
      </c>
      <c r="F280" s="4" t="s">
        <v>87</v>
      </c>
      <c r="G280" s="4" t="str">
        <f>IFERROR(INDEX('2b. Dataset in R'!$H:$H,MATCH($A280,'2b. Dataset in R'!$A:$A,0)),PROPER($B280))</f>
        <v>Integer</v>
      </c>
    </row>
    <row r="281" spans="1:7" x14ac:dyDescent="0.3">
      <c r="A281" t="s">
        <v>1158</v>
      </c>
      <c r="B281" t="s">
        <v>277</v>
      </c>
      <c r="C281" t="s">
        <v>1158</v>
      </c>
      <c r="D281">
        <v>0</v>
      </c>
      <c r="E281">
        <v>0</v>
      </c>
      <c r="F281" s="4" t="s">
        <v>87</v>
      </c>
      <c r="G281" s="4" t="str">
        <f>IFERROR(INDEX('2b. Dataset in R'!$H:$H,MATCH($A281,'2b. Dataset in R'!$A:$A,0)),PROPER($B281))</f>
        <v>Integer</v>
      </c>
    </row>
    <row r="282" spans="1:7" x14ac:dyDescent="0.3">
      <c r="A282" t="s">
        <v>1159</v>
      </c>
      <c r="B282" t="s">
        <v>277</v>
      </c>
      <c r="C282" t="s">
        <v>1159</v>
      </c>
      <c r="D282">
        <v>0</v>
      </c>
      <c r="E282">
        <v>0</v>
      </c>
      <c r="F282" s="4" t="s">
        <v>87</v>
      </c>
      <c r="G282" s="4" t="str">
        <f>IFERROR(INDEX('2b. Dataset in R'!$H:$H,MATCH($A282,'2b. Dataset in R'!$A:$A,0)),PROPER($B282))</f>
        <v>Integer</v>
      </c>
    </row>
    <row r="283" spans="1:7" x14ac:dyDescent="0.3">
      <c r="A283" t="s">
        <v>514</v>
      </c>
      <c r="B283" t="s">
        <v>276</v>
      </c>
      <c r="C283" t="s">
        <v>514</v>
      </c>
      <c r="D283">
        <v>0</v>
      </c>
      <c r="E283">
        <v>0</v>
      </c>
      <c r="G283" s="4" t="str">
        <f>IFERROR(INDEX('2b. Dataset in R'!$H:$H,MATCH($A283,'2b. Dataset in R'!$A:$A,0)),PROPER($B283))</f>
        <v>Character</v>
      </c>
    </row>
    <row r="284" spans="1:7" x14ac:dyDescent="0.3">
      <c r="A284" t="s">
        <v>1160</v>
      </c>
      <c r="B284" t="s">
        <v>277</v>
      </c>
      <c r="C284" t="s">
        <v>1160</v>
      </c>
      <c r="D284">
        <v>0</v>
      </c>
      <c r="E284">
        <v>0</v>
      </c>
      <c r="F284" s="4" t="s">
        <v>87</v>
      </c>
      <c r="G284" s="4" t="str">
        <f>IFERROR(INDEX('2b. Dataset in R'!$H:$H,MATCH($A284,'2b. Dataset in R'!$A:$A,0)),PROPER($B284))</f>
        <v>Integer</v>
      </c>
    </row>
    <row r="285" spans="1:7" x14ac:dyDescent="0.3">
      <c r="A285" t="s">
        <v>1161</v>
      </c>
      <c r="B285" t="s">
        <v>277</v>
      </c>
      <c r="C285" t="s">
        <v>1161</v>
      </c>
      <c r="D285">
        <v>0</v>
      </c>
      <c r="E285">
        <v>0</v>
      </c>
      <c r="G285" s="4" t="str">
        <f>IFERROR(INDEX('2b. Dataset in R'!$H:$H,MATCH($A285,'2b. Dataset in R'!$A:$A,0)),PROPER($B285))</f>
        <v>Integer</v>
      </c>
    </row>
    <row r="286" spans="1:7" x14ac:dyDescent="0.3">
      <c r="A286" t="s">
        <v>1162</v>
      </c>
      <c r="B286" t="s">
        <v>277</v>
      </c>
      <c r="C286" t="s">
        <v>1162</v>
      </c>
      <c r="D286">
        <v>0</v>
      </c>
      <c r="E286">
        <v>0</v>
      </c>
      <c r="F286" s="4" t="s">
        <v>87</v>
      </c>
      <c r="G286" s="4" t="str">
        <f>IFERROR(INDEX('2b. Dataset in R'!$H:$H,MATCH($A286,'2b. Dataset in R'!$A:$A,0)),PROPER($B286))</f>
        <v>Integer</v>
      </c>
    </row>
    <row r="287" spans="1:7" x14ac:dyDescent="0.3">
      <c r="A287" t="s">
        <v>515</v>
      </c>
      <c r="B287" t="s">
        <v>276</v>
      </c>
      <c r="C287" t="s">
        <v>515</v>
      </c>
      <c r="D287">
        <v>0</v>
      </c>
      <c r="E287">
        <v>0</v>
      </c>
      <c r="G287" s="4" t="str">
        <f>IFERROR(INDEX('2b. Dataset in R'!$H:$H,MATCH($A287,'2b. Dataset in R'!$A:$A,0)),PROPER($B287))</f>
        <v>Character</v>
      </c>
    </row>
    <row r="288" spans="1:7" x14ac:dyDescent="0.3">
      <c r="A288" t="s">
        <v>1163</v>
      </c>
      <c r="B288" t="s">
        <v>277</v>
      </c>
      <c r="C288" t="s">
        <v>1163</v>
      </c>
      <c r="D288">
        <v>0</v>
      </c>
      <c r="E288">
        <v>0</v>
      </c>
      <c r="F288" s="4" t="s">
        <v>87</v>
      </c>
      <c r="G288" s="4" t="str">
        <f>IFERROR(INDEX('2b. Dataset in R'!$H:$H,MATCH($A288,'2b. Dataset in R'!$A:$A,0)),PROPER($B288))</f>
        <v>Integer</v>
      </c>
    </row>
    <row r="289" spans="1:7" x14ac:dyDescent="0.3">
      <c r="A289" t="s">
        <v>1164</v>
      </c>
      <c r="B289" t="s">
        <v>277</v>
      </c>
      <c r="C289" t="s">
        <v>1164</v>
      </c>
      <c r="D289">
        <v>0</v>
      </c>
      <c r="E289">
        <v>0</v>
      </c>
      <c r="F289" s="4" t="s">
        <v>87</v>
      </c>
      <c r="G289" s="4" t="str">
        <f>IFERROR(INDEX('2b. Dataset in R'!$H:$H,MATCH($A289,'2b. Dataset in R'!$A:$A,0)),PROPER($B289))</f>
        <v>Integer</v>
      </c>
    </row>
    <row r="290" spans="1:7" x14ac:dyDescent="0.3">
      <c r="A290" t="s">
        <v>1165</v>
      </c>
      <c r="B290" t="s">
        <v>277</v>
      </c>
      <c r="C290" t="s">
        <v>1165</v>
      </c>
      <c r="D290">
        <v>0</v>
      </c>
      <c r="E290">
        <v>0</v>
      </c>
      <c r="F290" s="4" t="s">
        <v>87</v>
      </c>
      <c r="G290" s="4" t="str">
        <f>IFERROR(INDEX('2b. Dataset in R'!$H:$H,MATCH($A290,'2b. Dataset in R'!$A:$A,0)),PROPER($B290))</f>
        <v>Integer</v>
      </c>
    </row>
    <row r="291" spans="1:7" x14ac:dyDescent="0.3">
      <c r="A291" t="s">
        <v>1166</v>
      </c>
      <c r="B291" t="s">
        <v>277</v>
      </c>
      <c r="C291" t="s">
        <v>1166</v>
      </c>
      <c r="D291">
        <v>0</v>
      </c>
      <c r="E291">
        <v>0</v>
      </c>
      <c r="F291" s="4" t="s">
        <v>87</v>
      </c>
      <c r="G291" s="4" t="str">
        <f>IFERROR(INDEX('2b. Dataset in R'!$H:$H,MATCH($A291,'2b. Dataset in R'!$A:$A,0)),PROPER($B291))</f>
        <v>Integer</v>
      </c>
    </row>
    <row r="292" spans="1:7" x14ac:dyDescent="0.3">
      <c r="A292" t="s">
        <v>1167</v>
      </c>
      <c r="B292" t="s">
        <v>277</v>
      </c>
      <c r="C292" t="s">
        <v>1167</v>
      </c>
      <c r="D292">
        <v>0</v>
      </c>
      <c r="E292">
        <v>0</v>
      </c>
      <c r="F292" s="4" t="s">
        <v>87</v>
      </c>
      <c r="G292" s="4" t="str">
        <f>IFERROR(INDEX('2b. Dataset in R'!$H:$H,MATCH($A292,'2b. Dataset in R'!$A:$A,0)),PROPER($B292))</f>
        <v>Integer</v>
      </c>
    </row>
    <row r="293" spans="1:7" x14ac:dyDescent="0.3">
      <c r="A293" t="s">
        <v>1168</v>
      </c>
      <c r="B293" t="s">
        <v>277</v>
      </c>
      <c r="C293" t="s">
        <v>1168</v>
      </c>
      <c r="D293">
        <v>0</v>
      </c>
      <c r="E293">
        <v>0</v>
      </c>
      <c r="F293" s="4" t="s">
        <v>87</v>
      </c>
      <c r="G293" s="4" t="str">
        <f>IFERROR(INDEX('2b. Dataset in R'!$H:$H,MATCH($A293,'2b. Dataset in R'!$A:$A,0)),PROPER($B293))</f>
        <v>Integer</v>
      </c>
    </row>
    <row r="294" spans="1:7" x14ac:dyDescent="0.3">
      <c r="A294" t="s">
        <v>1169</v>
      </c>
      <c r="B294" t="s">
        <v>277</v>
      </c>
      <c r="C294" t="s">
        <v>1169</v>
      </c>
      <c r="D294">
        <v>0</v>
      </c>
      <c r="E294">
        <v>0</v>
      </c>
      <c r="G294" s="4" t="str">
        <f>IFERROR(INDEX('2b. Dataset in R'!$H:$H,MATCH($A294,'2b. Dataset in R'!$A:$A,0)),PROPER($B294))</f>
        <v>Integer</v>
      </c>
    </row>
    <row r="295" spans="1:7" x14ac:dyDescent="0.3">
      <c r="A295" t="s">
        <v>1170</v>
      </c>
      <c r="B295" t="s">
        <v>277</v>
      </c>
      <c r="C295" t="s">
        <v>1170</v>
      </c>
      <c r="D295">
        <v>0</v>
      </c>
      <c r="E295">
        <v>0</v>
      </c>
      <c r="F295" s="4" t="s">
        <v>87</v>
      </c>
      <c r="G295" s="4" t="str">
        <f>IFERROR(INDEX('2b. Dataset in R'!$H:$H,MATCH($A295,'2b. Dataset in R'!$A:$A,0)),PROPER($B295))</f>
        <v>Integer</v>
      </c>
    </row>
    <row r="296" spans="1:7" x14ac:dyDescent="0.3">
      <c r="A296" t="s">
        <v>1171</v>
      </c>
      <c r="B296" t="s">
        <v>277</v>
      </c>
      <c r="C296" t="s">
        <v>1171</v>
      </c>
      <c r="D296">
        <v>0</v>
      </c>
      <c r="E296">
        <v>0</v>
      </c>
      <c r="F296" s="4" t="s">
        <v>87</v>
      </c>
      <c r="G296" s="4" t="str">
        <f>IFERROR(INDEX('2b. Dataset in R'!$H:$H,MATCH($A296,'2b. Dataset in R'!$A:$A,0)),PROPER($B296))</f>
        <v>Integer</v>
      </c>
    </row>
    <row r="297" spans="1:7" x14ac:dyDescent="0.3">
      <c r="A297" t="s">
        <v>1172</v>
      </c>
      <c r="B297" t="s">
        <v>277</v>
      </c>
      <c r="C297" t="s">
        <v>1172</v>
      </c>
      <c r="D297">
        <v>0</v>
      </c>
      <c r="E297">
        <v>0</v>
      </c>
      <c r="F297" s="4" t="s">
        <v>87</v>
      </c>
      <c r="G297" s="4" t="str">
        <f>IFERROR(INDEX('2b. Dataset in R'!$H:$H,MATCH($A297,'2b. Dataset in R'!$A:$A,0)),PROPER($B297))</f>
        <v>Integer</v>
      </c>
    </row>
    <row r="298" spans="1:7" x14ac:dyDescent="0.3">
      <c r="A298" t="s">
        <v>1173</v>
      </c>
      <c r="B298" t="s">
        <v>277</v>
      </c>
      <c r="C298" t="s">
        <v>1173</v>
      </c>
      <c r="D298">
        <v>0</v>
      </c>
      <c r="E298">
        <v>0</v>
      </c>
      <c r="F298" s="4" t="s">
        <v>87</v>
      </c>
      <c r="G298" s="4" t="str">
        <f>IFERROR(INDEX('2b. Dataset in R'!$H:$H,MATCH($A298,'2b. Dataset in R'!$A:$A,0)),PROPER($B298))</f>
        <v>Integer</v>
      </c>
    </row>
    <row r="299" spans="1:7" x14ac:dyDescent="0.3">
      <c r="A299" t="s">
        <v>1174</v>
      </c>
      <c r="B299" t="s">
        <v>277</v>
      </c>
      <c r="C299" t="s">
        <v>1174</v>
      </c>
      <c r="D299">
        <v>0</v>
      </c>
      <c r="E299">
        <v>0</v>
      </c>
      <c r="F299" s="4" t="s">
        <v>87</v>
      </c>
      <c r="G299" s="4" t="str">
        <f>IFERROR(INDEX('2b. Dataset in R'!$H:$H,MATCH($A299,'2b. Dataset in R'!$A:$A,0)),PROPER($B299))</f>
        <v>Integer</v>
      </c>
    </row>
    <row r="300" spans="1:7" x14ac:dyDescent="0.3">
      <c r="A300" t="s">
        <v>1175</v>
      </c>
      <c r="B300" t="s">
        <v>277</v>
      </c>
      <c r="C300" t="s">
        <v>1175</v>
      </c>
      <c r="D300">
        <v>0</v>
      </c>
      <c r="E300">
        <v>0</v>
      </c>
      <c r="F300" s="4" t="s">
        <v>87</v>
      </c>
      <c r="G300" s="4" t="str">
        <f>IFERROR(INDEX('2b. Dataset in R'!$H:$H,MATCH($A300,'2b. Dataset in R'!$A:$A,0)),PROPER($B300))</f>
        <v>Integer</v>
      </c>
    </row>
    <row r="301" spans="1:7" x14ac:dyDescent="0.3">
      <c r="A301" t="s">
        <v>1176</v>
      </c>
      <c r="B301" t="s">
        <v>277</v>
      </c>
      <c r="C301" t="s">
        <v>1176</v>
      </c>
      <c r="D301">
        <v>0</v>
      </c>
      <c r="E301">
        <v>0</v>
      </c>
      <c r="F301" s="4" t="s">
        <v>87</v>
      </c>
      <c r="G301" s="4" t="str">
        <f>IFERROR(INDEX('2b. Dataset in R'!$H:$H,MATCH($A301,'2b. Dataset in R'!$A:$A,0)),PROPER($B301))</f>
        <v>Integer</v>
      </c>
    </row>
    <row r="302" spans="1:7" x14ac:dyDescent="0.3">
      <c r="A302" t="s">
        <v>1177</v>
      </c>
      <c r="B302" t="s">
        <v>277</v>
      </c>
      <c r="C302" t="s">
        <v>1177</v>
      </c>
      <c r="D302">
        <v>0</v>
      </c>
      <c r="E302">
        <v>0</v>
      </c>
      <c r="F302" s="4" t="s">
        <v>87</v>
      </c>
      <c r="G302" s="4" t="str">
        <f>IFERROR(INDEX('2b. Dataset in R'!$H:$H,MATCH($A302,'2b. Dataset in R'!$A:$A,0)),PROPER($B302))</f>
        <v>Integer</v>
      </c>
    </row>
    <row r="303" spans="1:7" x14ac:dyDescent="0.3">
      <c r="A303" t="s">
        <v>1178</v>
      </c>
      <c r="B303" t="s">
        <v>277</v>
      </c>
      <c r="C303" t="s">
        <v>1178</v>
      </c>
      <c r="D303">
        <v>0</v>
      </c>
      <c r="E303">
        <v>0</v>
      </c>
      <c r="F303" s="4" t="s">
        <v>87</v>
      </c>
      <c r="G303" s="4" t="str">
        <f>IFERROR(INDEX('2b. Dataset in R'!$H:$H,MATCH($A303,'2b. Dataset in R'!$A:$A,0)),PROPER($B303))</f>
        <v>Integer</v>
      </c>
    </row>
    <row r="304" spans="1:7" x14ac:dyDescent="0.3">
      <c r="A304" t="s">
        <v>1179</v>
      </c>
      <c r="B304" t="s">
        <v>277</v>
      </c>
      <c r="C304" t="s">
        <v>1179</v>
      </c>
      <c r="D304">
        <v>0</v>
      </c>
      <c r="E304">
        <v>0</v>
      </c>
      <c r="F304" s="4" t="s">
        <v>87</v>
      </c>
      <c r="G304" s="4" t="str">
        <f>IFERROR(INDEX('2b. Dataset in R'!$H:$H,MATCH($A304,'2b. Dataset in R'!$A:$A,0)),PROPER($B304))</f>
        <v>Integer</v>
      </c>
    </row>
    <row r="305" spans="1:7" x14ac:dyDescent="0.3">
      <c r="A305" t="s">
        <v>519</v>
      </c>
      <c r="B305" t="s">
        <v>276</v>
      </c>
      <c r="C305" t="s">
        <v>519</v>
      </c>
      <c r="D305">
        <v>0</v>
      </c>
      <c r="E305">
        <v>0</v>
      </c>
      <c r="G305" s="4" t="str">
        <f>IFERROR(INDEX('2b. Dataset in R'!$H:$H,MATCH($A305,'2b. Dataset in R'!$A:$A,0)),PROPER($B305))</f>
        <v>Character</v>
      </c>
    </row>
    <row r="306" spans="1:7" x14ac:dyDescent="0.3">
      <c r="A306" t="s">
        <v>1180</v>
      </c>
      <c r="B306" t="s">
        <v>277</v>
      </c>
      <c r="C306" t="s">
        <v>1180</v>
      </c>
      <c r="D306">
        <v>0</v>
      </c>
      <c r="E306">
        <v>0</v>
      </c>
      <c r="F306" s="4" t="s">
        <v>87</v>
      </c>
      <c r="G306" s="4" t="str">
        <f>IFERROR(INDEX('2b. Dataset in R'!$H:$H,MATCH($A306,'2b. Dataset in R'!$A:$A,0)),PROPER($B306))</f>
        <v>Integer</v>
      </c>
    </row>
    <row r="307" spans="1:7" x14ac:dyDescent="0.3">
      <c r="A307" t="s">
        <v>1181</v>
      </c>
      <c r="B307" t="s">
        <v>277</v>
      </c>
      <c r="C307" t="s">
        <v>1181</v>
      </c>
      <c r="D307">
        <v>0</v>
      </c>
      <c r="E307">
        <v>0</v>
      </c>
      <c r="G307" s="4" t="str">
        <f>IFERROR(INDEX('2b. Dataset in R'!$H:$H,MATCH($A307,'2b. Dataset in R'!$A:$A,0)),PROPER($B307))</f>
        <v>Integer</v>
      </c>
    </row>
    <row r="308" spans="1:7" x14ac:dyDescent="0.3">
      <c r="A308" t="s">
        <v>1182</v>
      </c>
      <c r="B308" t="s">
        <v>277</v>
      </c>
      <c r="C308" t="s">
        <v>1182</v>
      </c>
      <c r="D308">
        <v>0</v>
      </c>
      <c r="E308">
        <v>0</v>
      </c>
      <c r="F308" s="4" t="s">
        <v>87</v>
      </c>
      <c r="G308" s="4" t="str">
        <f>IFERROR(INDEX('2b. Dataset in R'!$H:$H,MATCH($A308,'2b. Dataset in R'!$A:$A,0)),PROPER($B308))</f>
        <v>Integer</v>
      </c>
    </row>
    <row r="309" spans="1:7" x14ac:dyDescent="0.3">
      <c r="A309" t="s">
        <v>520</v>
      </c>
      <c r="B309" t="s">
        <v>276</v>
      </c>
      <c r="C309" t="s">
        <v>520</v>
      </c>
      <c r="D309">
        <v>0</v>
      </c>
      <c r="E309">
        <v>0</v>
      </c>
      <c r="G309" s="4" t="str">
        <f>IFERROR(INDEX('2b. Dataset in R'!$H:$H,MATCH($A309,'2b. Dataset in R'!$A:$A,0)),PROPER($B309))</f>
        <v>Character</v>
      </c>
    </row>
    <row r="310" spans="1:7" x14ac:dyDescent="0.3">
      <c r="A310" t="s">
        <v>1183</v>
      </c>
      <c r="B310" t="s">
        <v>277</v>
      </c>
      <c r="C310" t="s">
        <v>1183</v>
      </c>
      <c r="D310">
        <v>0</v>
      </c>
      <c r="E310">
        <v>0</v>
      </c>
      <c r="F310" s="4" t="s">
        <v>87</v>
      </c>
      <c r="G310" s="4" t="str">
        <f>IFERROR(INDEX('2b. Dataset in R'!$H:$H,MATCH($A310,'2b. Dataset in R'!$A:$A,0)),PROPER($B310))</f>
        <v>Integer</v>
      </c>
    </row>
    <row r="311" spans="1:7" x14ac:dyDescent="0.3">
      <c r="A311" t="s">
        <v>1184</v>
      </c>
      <c r="B311" t="s">
        <v>277</v>
      </c>
      <c r="C311" t="s">
        <v>1184</v>
      </c>
      <c r="D311">
        <v>0</v>
      </c>
      <c r="E311">
        <v>0</v>
      </c>
      <c r="F311" s="4" t="s">
        <v>87</v>
      </c>
      <c r="G311" s="4" t="str">
        <f>IFERROR(INDEX('2b. Dataset in R'!$H:$H,MATCH($A311,'2b. Dataset in R'!$A:$A,0)),PROPER($B311))</f>
        <v>Integer</v>
      </c>
    </row>
    <row r="312" spans="1:7" x14ac:dyDescent="0.3">
      <c r="A312" t="s">
        <v>1185</v>
      </c>
      <c r="B312" t="s">
        <v>277</v>
      </c>
      <c r="C312" t="s">
        <v>1185</v>
      </c>
      <c r="D312">
        <v>0</v>
      </c>
      <c r="E312">
        <v>0</v>
      </c>
      <c r="F312" s="4" t="s">
        <v>87</v>
      </c>
      <c r="G312" s="4" t="str">
        <f>IFERROR(INDEX('2b. Dataset in R'!$H:$H,MATCH($A312,'2b. Dataset in R'!$A:$A,0)),PROPER($B312))</f>
        <v>Integer</v>
      </c>
    </row>
    <row r="313" spans="1:7" x14ac:dyDescent="0.3">
      <c r="A313" t="s">
        <v>1186</v>
      </c>
      <c r="B313" t="s">
        <v>277</v>
      </c>
      <c r="C313" t="s">
        <v>1186</v>
      </c>
      <c r="D313">
        <v>0</v>
      </c>
      <c r="E313">
        <v>0</v>
      </c>
      <c r="F313" s="4" t="s">
        <v>87</v>
      </c>
      <c r="G313" s="4" t="str">
        <f>IFERROR(INDEX('2b. Dataset in R'!$H:$H,MATCH($A313,'2b. Dataset in R'!$A:$A,0)),PROPER($B313))</f>
        <v>Integer</v>
      </c>
    </row>
    <row r="314" spans="1:7" x14ac:dyDescent="0.3">
      <c r="A314" t="s">
        <v>1187</v>
      </c>
      <c r="B314" t="s">
        <v>277</v>
      </c>
      <c r="C314" t="s">
        <v>1187</v>
      </c>
      <c r="D314">
        <v>0</v>
      </c>
      <c r="E314">
        <v>0</v>
      </c>
      <c r="G314" s="4" t="str">
        <f>IFERROR(INDEX('2b. Dataset in R'!$H:$H,MATCH($A314,'2b. Dataset in R'!$A:$A,0)),PROPER($B314))</f>
        <v>Integer</v>
      </c>
    </row>
    <row r="315" spans="1:7" x14ac:dyDescent="0.3">
      <c r="A315" t="s">
        <v>1188</v>
      </c>
      <c r="B315" t="s">
        <v>277</v>
      </c>
      <c r="C315" t="s">
        <v>1188</v>
      </c>
      <c r="D315">
        <v>0</v>
      </c>
      <c r="E315">
        <v>0</v>
      </c>
      <c r="F315" s="4" t="s">
        <v>87</v>
      </c>
      <c r="G315" s="4" t="str">
        <f>IFERROR(INDEX('2b. Dataset in R'!$H:$H,MATCH($A315,'2b. Dataset in R'!$A:$A,0)),PROPER($B315))</f>
        <v>Integer</v>
      </c>
    </row>
    <row r="316" spans="1:7" x14ac:dyDescent="0.3">
      <c r="A316" t="s">
        <v>1189</v>
      </c>
      <c r="B316" t="s">
        <v>277</v>
      </c>
      <c r="C316" t="s">
        <v>1189</v>
      </c>
      <c r="D316">
        <v>0</v>
      </c>
      <c r="E316">
        <v>0</v>
      </c>
      <c r="F316" s="4" t="s">
        <v>87</v>
      </c>
      <c r="G316" s="4" t="str">
        <f>IFERROR(INDEX('2b. Dataset in R'!$H:$H,MATCH($A316,'2b. Dataset in R'!$A:$A,0)),PROPER($B316))</f>
        <v>Integer</v>
      </c>
    </row>
    <row r="317" spans="1:7" x14ac:dyDescent="0.3">
      <c r="A317" t="s">
        <v>1190</v>
      </c>
      <c r="B317" t="s">
        <v>277</v>
      </c>
      <c r="C317" t="s">
        <v>1190</v>
      </c>
      <c r="D317">
        <v>0</v>
      </c>
      <c r="E317">
        <v>0</v>
      </c>
      <c r="F317" s="4" t="s">
        <v>87</v>
      </c>
      <c r="G317" s="4" t="str">
        <f>IFERROR(INDEX('2b. Dataset in R'!$H:$H,MATCH($A317,'2b. Dataset in R'!$A:$A,0)),PROPER($B317))</f>
        <v>Integer</v>
      </c>
    </row>
    <row r="318" spans="1:7" x14ac:dyDescent="0.3">
      <c r="A318" t="s">
        <v>1191</v>
      </c>
      <c r="B318" t="s">
        <v>277</v>
      </c>
      <c r="C318" t="s">
        <v>1191</v>
      </c>
      <c r="D318">
        <v>0</v>
      </c>
      <c r="E318">
        <v>0</v>
      </c>
      <c r="F318" s="4" t="s">
        <v>87</v>
      </c>
      <c r="G318" s="4" t="str">
        <f>IFERROR(INDEX('2b. Dataset in R'!$H:$H,MATCH($A318,'2b. Dataset in R'!$A:$A,0)),PROPER($B318))</f>
        <v>Integer</v>
      </c>
    </row>
    <row r="319" spans="1:7" x14ac:dyDescent="0.3">
      <c r="A319" t="s">
        <v>1192</v>
      </c>
      <c r="B319" t="s">
        <v>277</v>
      </c>
      <c r="C319" t="s">
        <v>1192</v>
      </c>
      <c r="D319">
        <v>0</v>
      </c>
      <c r="E319">
        <v>0</v>
      </c>
      <c r="F319" s="4" t="s">
        <v>87</v>
      </c>
      <c r="G319" s="4" t="str">
        <f>IFERROR(INDEX('2b. Dataset in R'!$H:$H,MATCH($A319,'2b. Dataset in R'!$A:$A,0)),PROPER($B319))</f>
        <v>Integer</v>
      </c>
    </row>
    <row r="320" spans="1:7" x14ac:dyDescent="0.3">
      <c r="A320" t="s">
        <v>524</v>
      </c>
      <c r="B320" t="s">
        <v>276</v>
      </c>
      <c r="C320" t="s">
        <v>524</v>
      </c>
      <c r="D320">
        <v>0</v>
      </c>
      <c r="E320">
        <v>0</v>
      </c>
      <c r="G320" s="4" t="str">
        <f>IFERROR(INDEX('2b. Dataset in R'!$H:$H,MATCH($A320,'2b. Dataset in R'!$A:$A,0)),PROPER($B320))</f>
        <v>Character</v>
      </c>
    </row>
    <row r="321" spans="1:7" x14ac:dyDescent="0.3">
      <c r="A321" t="s">
        <v>1193</v>
      </c>
      <c r="B321" t="s">
        <v>277</v>
      </c>
      <c r="C321" t="s">
        <v>1193</v>
      </c>
      <c r="D321">
        <v>0</v>
      </c>
      <c r="E321">
        <v>0</v>
      </c>
      <c r="F321" s="4" t="s">
        <v>87</v>
      </c>
      <c r="G321" s="4" t="str">
        <f>IFERROR(INDEX('2b. Dataset in R'!$H:$H,MATCH($A321,'2b. Dataset in R'!$A:$A,0)),PROPER($B321))</f>
        <v>Integer</v>
      </c>
    </row>
    <row r="322" spans="1:7" x14ac:dyDescent="0.3">
      <c r="A322" t="s">
        <v>1194</v>
      </c>
      <c r="B322" t="s">
        <v>277</v>
      </c>
      <c r="C322" t="s">
        <v>1194</v>
      </c>
      <c r="D322">
        <v>0</v>
      </c>
      <c r="E322">
        <v>0</v>
      </c>
      <c r="G322" s="4" t="str">
        <f>IFERROR(INDEX('2b. Dataset in R'!$H:$H,MATCH($A322,'2b. Dataset in R'!$A:$A,0)),PROPER($B322))</f>
        <v>Integer</v>
      </c>
    </row>
    <row r="323" spans="1:7" x14ac:dyDescent="0.3">
      <c r="A323" t="s">
        <v>1195</v>
      </c>
      <c r="B323" t="s">
        <v>277</v>
      </c>
      <c r="C323" t="s">
        <v>1195</v>
      </c>
      <c r="D323">
        <v>0</v>
      </c>
      <c r="E323">
        <v>0</v>
      </c>
      <c r="F323" s="4" t="s">
        <v>87</v>
      </c>
      <c r="G323" s="4" t="str">
        <f>IFERROR(INDEX('2b. Dataset in R'!$H:$H,MATCH($A323,'2b. Dataset in R'!$A:$A,0)),PROPER($B323))</f>
        <v>Integer</v>
      </c>
    </row>
    <row r="324" spans="1:7" x14ac:dyDescent="0.3">
      <c r="A324" t="s">
        <v>525</v>
      </c>
      <c r="B324" t="s">
        <v>276</v>
      </c>
      <c r="C324" t="s">
        <v>525</v>
      </c>
      <c r="D324">
        <v>0</v>
      </c>
      <c r="E324">
        <v>0</v>
      </c>
      <c r="G324" s="4" t="str">
        <f>IFERROR(INDEX('2b. Dataset in R'!$H:$H,MATCH($A324,'2b. Dataset in R'!$A:$A,0)),PROPER($B324))</f>
        <v>Character</v>
      </c>
    </row>
    <row r="325" spans="1:7" x14ac:dyDescent="0.3">
      <c r="A325" t="s">
        <v>1196</v>
      </c>
      <c r="B325" t="s">
        <v>277</v>
      </c>
      <c r="C325" t="s">
        <v>1196</v>
      </c>
      <c r="D325">
        <v>0</v>
      </c>
      <c r="E325">
        <v>0</v>
      </c>
      <c r="F325" s="4" t="s">
        <v>87</v>
      </c>
      <c r="G325" s="4" t="str">
        <f>IFERROR(INDEX('2b. Dataset in R'!$H:$H,MATCH($A325,'2b. Dataset in R'!$A:$A,0)),PROPER($B325))</f>
        <v>Integer</v>
      </c>
    </row>
    <row r="326" spans="1:7" x14ac:dyDescent="0.3">
      <c r="A326" t="s">
        <v>1197</v>
      </c>
      <c r="B326" t="s">
        <v>277</v>
      </c>
      <c r="C326" t="s">
        <v>1197</v>
      </c>
      <c r="D326">
        <v>0</v>
      </c>
      <c r="E326">
        <v>0</v>
      </c>
      <c r="G326" s="4" t="str">
        <f>IFERROR(INDEX('2b. Dataset in R'!$H:$H,MATCH($A326,'2b. Dataset in R'!$A:$A,0)),PROPER($B326))</f>
        <v>Integer</v>
      </c>
    </row>
    <row r="327" spans="1:7" x14ac:dyDescent="0.3">
      <c r="A327" t="s">
        <v>1198</v>
      </c>
      <c r="B327" t="s">
        <v>277</v>
      </c>
      <c r="C327" t="s">
        <v>1198</v>
      </c>
      <c r="D327">
        <v>0</v>
      </c>
      <c r="E327">
        <v>0</v>
      </c>
      <c r="F327" s="4" t="s">
        <v>87</v>
      </c>
      <c r="G327" s="4" t="str">
        <f>IFERROR(INDEX('2b. Dataset in R'!$H:$H,MATCH($A327,'2b. Dataset in R'!$A:$A,0)),PROPER($B327))</f>
        <v>Integer</v>
      </c>
    </row>
    <row r="328" spans="1:7" x14ac:dyDescent="0.3">
      <c r="A328" t="s">
        <v>1199</v>
      </c>
      <c r="B328" t="s">
        <v>277</v>
      </c>
      <c r="C328" t="s">
        <v>1199</v>
      </c>
      <c r="D328">
        <v>0</v>
      </c>
      <c r="E328">
        <v>0</v>
      </c>
      <c r="F328" s="4" t="s">
        <v>87</v>
      </c>
      <c r="G328" s="4" t="str">
        <f>IFERROR(INDEX('2b. Dataset in R'!$H:$H,MATCH($A328,'2b. Dataset in R'!$A:$A,0)),PROPER($B328))</f>
        <v>Integer</v>
      </c>
    </row>
    <row r="329" spans="1:7" x14ac:dyDescent="0.3">
      <c r="A329" t="s">
        <v>529</v>
      </c>
      <c r="B329" t="s">
        <v>276</v>
      </c>
      <c r="C329" t="s">
        <v>529</v>
      </c>
      <c r="D329">
        <v>0</v>
      </c>
      <c r="E329">
        <v>0</v>
      </c>
      <c r="G329" s="4" t="str">
        <f>IFERROR(INDEX('2b. Dataset in R'!$H:$H,MATCH($A329,'2b. Dataset in R'!$A:$A,0)),PROPER($B329))</f>
        <v>Character</v>
      </c>
    </row>
    <row r="330" spans="1:7" x14ac:dyDescent="0.3">
      <c r="A330" t="s">
        <v>1200</v>
      </c>
      <c r="B330" t="s">
        <v>277</v>
      </c>
      <c r="C330" t="s">
        <v>1200</v>
      </c>
      <c r="D330">
        <v>0</v>
      </c>
      <c r="E330">
        <v>0</v>
      </c>
      <c r="G330" s="4" t="str">
        <f>IFERROR(INDEX('2b. Dataset in R'!$H:$H,MATCH($A330,'2b. Dataset in R'!$A:$A,0)),PROPER($B330))</f>
        <v>Integer</v>
      </c>
    </row>
    <row r="331" spans="1:7" x14ac:dyDescent="0.3">
      <c r="A331" t="s">
        <v>1201</v>
      </c>
      <c r="B331" t="s">
        <v>277</v>
      </c>
      <c r="C331" t="s">
        <v>1201</v>
      </c>
      <c r="D331">
        <v>0</v>
      </c>
      <c r="E331">
        <v>0</v>
      </c>
      <c r="F331" s="4" t="s">
        <v>87</v>
      </c>
      <c r="G331" s="4" t="str">
        <f>IFERROR(INDEX('2b. Dataset in R'!$H:$H,MATCH($A331,'2b. Dataset in R'!$A:$A,0)),PROPER($B331))</f>
        <v>Integer</v>
      </c>
    </row>
    <row r="332" spans="1:7" x14ac:dyDescent="0.3">
      <c r="A332" t="s">
        <v>1202</v>
      </c>
      <c r="B332" t="s">
        <v>277</v>
      </c>
      <c r="C332" t="s">
        <v>1202</v>
      </c>
      <c r="D332">
        <v>0</v>
      </c>
      <c r="E332">
        <v>0</v>
      </c>
      <c r="F332" s="4" t="s">
        <v>87</v>
      </c>
      <c r="G332" s="4" t="str">
        <f>IFERROR(INDEX('2b. Dataset in R'!$H:$H,MATCH($A332,'2b. Dataset in R'!$A:$A,0)),PROPER($B332))</f>
        <v>Integer</v>
      </c>
    </row>
    <row r="333" spans="1:7" x14ac:dyDescent="0.3">
      <c r="A333" t="s">
        <v>530</v>
      </c>
      <c r="B333" t="s">
        <v>276</v>
      </c>
      <c r="C333" t="s">
        <v>530</v>
      </c>
      <c r="D333">
        <v>0</v>
      </c>
      <c r="E333">
        <v>0</v>
      </c>
      <c r="G333" s="4" t="str">
        <f>IFERROR(INDEX('2b. Dataset in R'!$H:$H,MATCH($A333,'2b. Dataset in R'!$A:$A,0)),PROPER($B333))</f>
        <v>Character</v>
      </c>
    </row>
    <row r="334" spans="1:7" x14ac:dyDescent="0.3">
      <c r="A334" t="s">
        <v>1203</v>
      </c>
      <c r="B334" t="s">
        <v>277</v>
      </c>
      <c r="C334" t="s">
        <v>1203</v>
      </c>
      <c r="D334">
        <v>0</v>
      </c>
      <c r="E334">
        <v>0</v>
      </c>
      <c r="F334" s="4" t="s">
        <v>87</v>
      </c>
      <c r="G334" s="4" t="str">
        <f>IFERROR(INDEX('2b. Dataset in R'!$H:$H,MATCH($A334,'2b. Dataset in R'!$A:$A,0)),PROPER($B334))</f>
        <v>Integer</v>
      </c>
    </row>
    <row r="335" spans="1:7" x14ac:dyDescent="0.3">
      <c r="A335" t="s">
        <v>1204</v>
      </c>
      <c r="B335" t="s">
        <v>277</v>
      </c>
      <c r="C335" t="s">
        <v>1204</v>
      </c>
      <c r="D335">
        <v>0</v>
      </c>
      <c r="E335">
        <v>0</v>
      </c>
      <c r="F335" s="4" t="s">
        <v>87</v>
      </c>
      <c r="G335" s="4" t="str">
        <f>IFERROR(INDEX('2b. Dataset in R'!$H:$H,MATCH($A335,'2b. Dataset in R'!$A:$A,0)),PROPER($B335))</f>
        <v>Integer</v>
      </c>
    </row>
    <row r="336" spans="1:7" x14ac:dyDescent="0.3">
      <c r="A336" t="s">
        <v>1205</v>
      </c>
      <c r="B336" t="s">
        <v>277</v>
      </c>
      <c r="C336" t="s">
        <v>1205</v>
      </c>
      <c r="D336">
        <v>0</v>
      </c>
      <c r="E336">
        <v>0</v>
      </c>
      <c r="F336" s="4" t="s">
        <v>87</v>
      </c>
      <c r="G336" s="4" t="str">
        <f>IFERROR(INDEX('2b. Dataset in R'!$H:$H,MATCH($A336,'2b. Dataset in R'!$A:$A,0)),PROPER($B336))</f>
        <v>Integer</v>
      </c>
    </row>
    <row r="337" spans="1:7" x14ac:dyDescent="0.3">
      <c r="A337" t="s">
        <v>1206</v>
      </c>
      <c r="B337" t="s">
        <v>277</v>
      </c>
      <c r="C337" t="s">
        <v>1206</v>
      </c>
      <c r="D337">
        <v>0</v>
      </c>
      <c r="E337">
        <v>0</v>
      </c>
      <c r="G337" s="4" t="str">
        <f>IFERROR(INDEX('2b. Dataset in R'!$H:$H,MATCH($A337,'2b. Dataset in R'!$A:$A,0)),PROPER($B337))</f>
        <v>Integer</v>
      </c>
    </row>
    <row r="338" spans="1:7" x14ac:dyDescent="0.3">
      <c r="A338" t="s">
        <v>1207</v>
      </c>
      <c r="B338" t="s">
        <v>277</v>
      </c>
      <c r="C338" t="s">
        <v>1207</v>
      </c>
      <c r="D338">
        <v>0</v>
      </c>
      <c r="E338">
        <v>0</v>
      </c>
      <c r="F338" s="4" t="s">
        <v>87</v>
      </c>
      <c r="G338" s="4" t="str">
        <f>IFERROR(INDEX('2b. Dataset in R'!$H:$H,MATCH($A338,'2b. Dataset in R'!$A:$A,0)),PROPER($B338))</f>
        <v>Integer</v>
      </c>
    </row>
    <row r="339" spans="1:7" x14ac:dyDescent="0.3">
      <c r="A339" t="s">
        <v>1208</v>
      </c>
      <c r="B339" t="s">
        <v>277</v>
      </c>
      <c r="C339" t="s">
        <v>1208</v>
      </c>
      <c r="D339">
        <v>0</v>
      </c>
      <c r="E339">
        <v>0</v>
      </c>
      <c r="F339" s="4" t="s">
        <v>87</v>
      </c>
      <c r="G339" s="4" t="str">
        <f>IFERROR(INDEX('2b. Dataset in R'!$H:$H,MATCH($A339,'2b. Dataset in R'!$A:$A,0)),PROPER($B339))</f>
        <v>Integer</v>
      </c>
    </row>
    <row r="340" spans="1:7" x14ac:dyDescent="0.3">
      <c r="A340" t="s">
        <v>1209</v>
      </c>
      <c r="B340" t="s">
        <v>277</v>
      </c>
      <c r="C340" t="s">
        <v>1209</v>
      </c>
      <c r="D340">
        <v>0</v>
      </c>
      <c r="E340">
        <v>0</v>
      </c>
      <c r="F340" s="4" t="s">
        <v>87</v>
      </c>
      <c r="G340" s="4" t="str">
        <f>IFERROR(INDEX('2b. Dataset in R'!$H:$H,MATCH($A340,'2b. Dataset in R'!$A:$A,0)),PROPER($B340))</f>
        <v>Integer</v>
      </c>
    </row>
    <row r="341" spans="1:7" x14ac:dyDescent="0.3">
      <c r="A341" t="s">
        <v>1210</v>
      </c>
      <c r="B341" t="s">
        <v>277</v>
      </c>
      <c r="C341" t="s">
        <v>1210</v>
      </c>
      <c r="D341">
        <v>0</v>
      </c>
      <c r="E341">
        <v>0</v>
      </c>
      <c r="F341" s="4" t="s">
        <v>87</v>
      </c>
      <c r="G341" s="4" t="str">
        <f>IFERROR(INDEX('2b. Dataset in R'!$H:$H,MATCH($A341,'2b. Dataset in R'!$A:$A,0)),PROPER($B341))</f>
        <v>Integer</v>
      </c>
    </row>
    <row r="342" spans="1:7" x14ac:dyDescent="0.3">
      <c r="A342" t="s">
        <v>1211</v>
      </c>
      <c r="B342" t="s">
        <v>277</v>
      </c>
      <c r="C342" t="s">
        <v>1211</v>
      </c>
      <c r="D342">
        <v>0</v>
      </c>
      <c r="E342">
        <v>0</v>
      </c>
      <c r="F342" s="4" t="s">
        <v>87</v>
      </c>
      <c r="G342" s="4" t="str">
        <f>IFERROR(INDEX('2b. Dataset in R'!$H:$H,MATCH($A342,'2b. Dataset in R'!$A:$A,0)),PROPER($B342))</f>
        <v>Integer</v>
      </c>
    </row>
    <row r="343" spans="1:7" x14ac:dyDescent="0.3">
      <c r="A343" t="s">
        <v>1212</v>
      </c>
      <c r="B343" t="s">
        <v>277</v>
      </c>
      <c r="C343" t="s">
        <v>1212</v>
      </c>
      <c r="D343">
        <v>0</v>
      </c>
      <c r="E343">
        <v>0</v>
      </c>
      <c r="F343" s="4" t="s">
        <v>87</v>
      </c>
      <c r="G343" s="4" t="str">
        <f>IFERROR(INDEX('2b. Dataset in R'!$H:$H,MATCH($A343,'2b. Dataset in R'!$A:$A,0)),PROPER($B343))</f>
        <v>Integer</v>
      </c>
    </row>
    <row r="344" spans="1:7" x14ac:dyDescent="0.3">
      <c r="A344" t="s">
        <v>1213</v>
      </c>
      <c r="B344" t="s">
        <v>277</v>
      </c>
      <c r="C344" t="s">
        <v>1213</v>
      </c>
      <c r="D344">
        <v>0</v>
      </c>
      <c r="E344">
        <v>0</v>
      </c>
      <c r="F344" s="4" t="s">
        <v>87</v>
      </c>
      <c r="G344" s="4" t="str">
        <f>IFERROR(INDEX('2b. Dataset in R'!$H:$H,MATCH($A344,'2b. Dataset in R'!$A:$A,0)),PROPER($B344))</f>
        <v>Integer</v>
      </c>
    </row>
    <row r="345" spans="1:7" x14ac:dyDescent="0.3">
      <c r="A345" t="s">
        <v>1214</v>
      </c>
      <c r="B345" t="s">
        <v>277</v>
      </c>
      <c r="C345" t="s">
        <v>1214</v>
      </c>
      <c r="D345">
        <v>0</v>
      </c>
      <c r="E345">
        <v>0</v>
      </c>
      <c r="G345" s="4" t="str">
        <f>IFERROR(INDEX('2b. Dataset in R'!$H:$H,MATCH($A345,'2b. Dataset in R'!$A:$A,0)),PROPER($B345))</f>
        <v>Integer</v>
      </c>
    </row>
    <row r="346" spans="1:7" x14ac:dyDescent="0.3">
      <c r="A346" t="s">
        <v>1215</v>
      </c>
      <c r="B346" t="s">
        <v>277</v>
      </c>
      <c r="C346" t="s">
        <v>1215</v>
      </c>
      <c r="D346">
        <v>0</v>
      </c>
      <c r="E346">
        <v>0</v>
      </c>
      <c r="F346" s="4" t="s">
        <v>87</v>
      </c>
      <c r="G346" s="4" t="str">
        <f>IFERROR(INDEX('2b. Dataset in R'!$H:$H,MATCH($A346,'2b. Dataset in R'!$A:$A,0)),PROPER($B346))</f>
        <v>Integer</v>
      </c>
    </row>
    <row r="347" spans="1:7" x14ac:dyDescent="0.3">
      <c r="A347" t="s">
        <v>1216</v>
      </c>
      <c r="B347" t="s">
        <v>277</v>
      </c>
      <c r="C347" t="s">
        <v>1216</v>
      </c>
      <c r="D347">
        <v>0</v>
      </c>
      <c r="E347">
        <v>0</v>
      </c>
      <c r="F347" s="4" t="s">
        <v>87</v>
      </c>
      <c r="G347" s="4" t="str">
        <f>IFERROR(INDEX('2b. Dataset in R'!$H:$H,MATCH($A347,'2b. Dataset in R'!$A:$A,0)),PROPER($B347))</f>
        <v>Integer</v>
      </c>
    </row>
    <row r="348" spans="1:7" x14ac:dyDescent="0.3">
      <c r="A348" t="s">
        <v>1217</v>
      </c>
      <c r="B348" t="s">
        <v>277</v>
      </c>
      <c r="C348" t="s">
        <v>1217</v>
      </c>
      <c r="D348">
        <v>0</v>
      </c>
      <c r="E348">
        <v>0</v>
      </c>
      <c r="F348" s="4" t="s">
        <v>87</v>
      </c>
      <c r="G348" s="4" t="str">
        <f>IFERROR(INDEX('2b. Dataset in R'!$H:$H,MATCH($A348,'2b. Dataset in R'!$A:$A,0)),PROPER($B348))</f>
        <v>Integer</v>
      </c>
    </row>
    <row r="349" spans="1:7" x14ac:dyDescent="0.3">
      <c r="A349" t="s">
        <v>1218</v>
      </c>
      <c r="B349" t="s">
        <v>277</v>
      </c>
      <c r="C349" t="s">
        <v>1218</v>
      </c>
      <c r="D349">
        <v>0</v>
      </c>
      <c r="E349">
        <v>0</v>
      </c>
      <c r="F349" s="4" t="s">
        <v>87</v>
      </c>
      <c r="G349" s="4" t="str">
        <f>IFERROR(INDEX('2b. Dataset in R'!$H:$H,MATCH($A349,'2b. Dataset in R'!$A:$A,0)),PROPER($B349))</f>
        <v>Integer</v>
      </c>
    </row>
    <row r="350" spans="1:7" x14ac:dyDescent="0.3">
      <c r="A350" t="s">
        <v>1219</v>
      </c>
      <c r="B350" t="s">
        <v>277</v>
      </c>
      <c r="C350" t="s">
        <v>1219</v>
      </c>
      <c r="D350">
        <v>0</v>
      </c>
      <c r="E350">
        <v>0</v>
      </c>
      <c r="F350" s="4" t="s">
        <v>87</v>
      </c>
      <c r="G350" s="4" t="str">
        <f>IFERROR(INDEX('2b. Dataset in R'!$H:$H,MATCH($A350,'2b. Dataset in R'!$A:$A,0)),PROPER($B350))</f>
        <v>Integer</v>
      </c>
    </row>
    <row r="351" spans="1:7" x14ac:dyDescent="0.3">
      <c r="A351" t="s">
        <v>1220</v>
      </c>
      <c r="B351" t="s">
        <v>277</v>
      </c>
      <c r="C351" t="s">
        <v>1220</v>
      </c>
      <c r="D351">
        <v>0</v>
      </c>
      <c r="E351">
        <v>0</v>
      </c>
      <c r="F351" s="4" t="s">
        <v>87</v>
      </c>
      <c r="G351" s="4" t="str">
        <f>IFERROR(INDEX('2b. Dataset in R'!$H:$H,MATCH($A351,'2b. Dataset in R'!$A:$A,0)),PROPER($B351))</f>
        <v>Integer</v>
      </c>
    </row>
    <row r="352" spans="1:7" x14ac:dyDescent="0.3">
      <c r="A352" t="s">
        <v>1221</v>
      </c>
      <c r="B352" t="s">
        <v>277</v>
      </c>
      <c r="C352" t="s">
        <v>1221</v>
      </c>
      <c r="D352">
        <v>0</v>
      </c>
      <c r="E352">
        <v>0</v>
      </c>
      <c r="F352" s="4" t="s">
        <v>87</v>
      </c>
      <c r="G352" s="4" t="str">
        <f>IFERROR(INDEX('2b. Dataset in R'!$H:$H,MATCH($A352,'2b. Dataset in R'!$A:$A,0)),PROPER($B352))</f>
        <v>Integer</v>
      </c>
    </row>
    <row r="353" spans="1:7" x14ac:dyDescent="0.3">
      <c r="A353" t="s">
        <v>1222</v>
      </c>
      <c r="B353" t="s">
        <v>277</v>
      </c>
      <c r="C353" t="s">
        <v>1222</v>
      </c>
      <c r="D353">
        <v>0</v>
      </c>
      <c r="E353">
        <v>0</v>
      </c>
      <c r="F353" s="4" t="s">
        <v>87</v>
      </c>
      <c r="G353" s="4" t="str">
        <f>IFERROR(INDEX('2b. Dataset in R'!$H:$H,MATCH($A353,'2b. Dataset in R'!$A:$A,0)),PROPER($B353))</f>
        <v>Integer</v>
      </c>
    </row>
    <row r="354" spans="1:7" x14ac:dyDescent="0.3">
      <c r="A354" t="s">
        <v>1223</v>
      </c>
      <c r="B354" t="s">
        <v>277</v>
      </c>
      <c r="C354" t="s">
        <v>1223</v>
      </c>
      <c r="D354">
        <v>0</v>
      </c>
      <c r="E354">
        <v>0</v>
      </c>
      <c r="F354" s="4" t="s">
        <v>87</v>
      </c>
      <c r="G354" s="4" t="str">
        <f>IFERROR(INDEX('2b. Dataset in R'!$H:$H,MATCH($A354,'2b. Dataset in R'!$A:$A,0)),PROPER($B354))</f>
        <v>Integer</v>
      </c>
    </row>
    <row r="355" spans="1:7" x14ac:dyDescent="0.3">
      <c r="A355" t="s">
        <v>1224</v>
      </c>
      <c r="B355" t="s">
        <v>277</v>
      </c>
      <c r="C355" t="s">
        <v>1224</v>
      </c>
      <c r="D355">
        <v>0</v>
      </c>
      <c r="E355">
        <v>0</v>
      </c>
      <c r="F355" s="4" t="s">
        <v>87</v>
      </c>
      <c r="G355" s="4" t="str">
        <f>IFERROR(INDEX('2b. Dataset in R'!$H:$H,MATCH($A355,'2b. Dataset in R'!$A:$A,0)),PROPER($B355))</f>
        <v>Integer</v>
      </c>
    </row>
    <row r="356" spans="1:7" x14ac:dyDescent="0.3">
      <c r="A356" t="s">
        <v>1225</v>
      </c>
      <c r="B356" t="s">
        <v>277</v>
      </c>
      <c r="C356" t="s">
        <v>1225</v>
      </c>
      <c r="D356">
        <v>0</v>
      </c>
      <c r="E356">
        <v>0</v>
      </c>
      <c r="F356" s="4" t="s">
        <v>87</v>
      </c>
      <c r="G356" s="4" t="str">
        <f>IFERROR(INDEX('2b. Dataset in R'!$H:$H,MATCH($A356,'2b. Dataset in R'!$A:$A,0)),PROPER($B356))</f>
        <v>Integer</v>
      </c>
    </row>
    <row r="357" spans="1:7" x14ac:dyDescent="0.3">
      <c r="A357" t="s">
        <v>1226</v>
      </c>
      <c r="B357" t="s">
        <v>277</v>
      </c>
      <c r="C357" t="s">
        <v>1226</v>
      </c>
      <c r="D357">
        <v>0</v>
      </c>
      <c r="E357">
        <v>0</v>
      </c>
      <c r="F357" s="4" t="s">
        <v>87</v>
      </c>
      <c r="G357" s="4" t="str">
        <f>IFERROR(INDEX('2b. Dataset in R'!$H:$H,MATCH($A357,'2b. Dataset in R'!$A:$A,0)),PROPER($B357))</f>
        <v>Integer</v>
      </c>
    </row>
    <row r="358" spans="1:7" x14ac:dyDescent="0.3">
      <c r="A358" t="s">
        <v>1227</v>
      </c>
      <c r="B358" t="s">
        <v>277</v>
      </c>
      <c r="C358" t="s">
        <v>1227</v>
      </c>
      <c r="D358">
        <v>0</v>
      </c>
      <c r="E358">
        <v>0</v>
      </c>
      <c r="F358" s="4" t="s">
        <v>87</v>
      </c>
      <c r="G358" s="4" t="str">
        <f>IFERROR(INDEX('2b. Dataset in R'!$H:$H,MATCH($A358,'2b. Dataset in R'!$A:$A,0)),PROPER($B358))</f>
        <v>Integer</v>
      </c>
    </row>
    <row r="359" spans="1:7" x14ac:dyDescent="0.3">
      <c r="A359" t="s">
        <v>535</v>
      </c>
      <c r="B359" t="s">
        <v>276</v>
      </c>
      <c r="C359" t="s">
        <v>535</v>
      </c>
      <c r="D359">
        <v>0</v>
      </c>
      <c r="E359">
        <v>0</v>
      </c>
      <c r="G359" s="4" t="str">
        <f>IFERROR(INDEX('2b. Dataset in R'!$H:$H,MATCH($A359,'2b. Dataset in R'!$A:$A,0)),PROPER($B359))</f>
        <v>Character</v>
      </c>
    </row>
    <row r="360" spans="1:7" x14ac:dyDescent="0.3">
      <c r="A360" t="s">
        <v>1228</v>
      </c>
      <c r="B360" t="s">
        <v>277</v>
      </c>
      <c r="C360" t="s">
        <v>1228</v>
      </c>
      <c r="D360">
        <v>0</v>
      </c>
      <c r="E360">
        <v>0</v>
      </c>
      <c r="G360" s="4" t="str">
        <f>IFERROR(INDEX('2b. Dataset in R'!$H:$H,MATCH($A360,'2b. Dataset in R'!$A:$A,0)),PROPER($B360))</f>
        <v>Integer</v>
      </c>
    </row>
    <row r="361" spans="1:7" x14ac:dyDescent="0.3">
      <c r="A361" t="s">
        <v>1229</v>
      </c>
      <c r="B361" t="s">
        <v>277</v>
      </c>
      <c r="C361" t="s">
        <v>1229</v>
      </c>
      <c r="D361">
        <v>0</v>
      </c>
      <c r="E361">
        <v>0</v>
      </c>
      <c r="F361" s="4" t="s">
        <v>87</v>
      </c>
      <c r="G361" s="4" t="str">
        <f>IFERROR(INDEX('2b. Dataset in R'!$H:$H,MATCH($A361,'2b. Dataset in R'!$A:$A,0)),PROPER($B361))</f>
        <v>Integer</v>
      </c>
    </row>
    <row r="362" spans="1:7" x14ac:dyDescent="0.3">
      <c r="A362" t="s">
        <v>1230</v>
      </c>
      <c r="B362" t="s">
        <v>277</v>
      </c>
      <c r="C362" t="s">
        <v>1230</v>
      </c>
      <c r="D362">
        <v>0</v>
      </c>
      <c r="E362">
        <v>0</v>
      </c>
      <c r="F362" s="4" t="s">
        <v>87</v>
      </c>
      <c r="G362" s="4" t="str">
        <f>IFERROR(INDEX('2b. Dataset in R'!$H:$H,MATCH($A362,'2b. Dataset in R'!$A:$A,0)),PROPER($B362))</f>
        <v>Integer</v>
      </c>
    </row>
    <row r="363" spans="1:7" x14ac:dyDescent="0.3">
      <c r="A363" t="s">
        <v>536</v>
      </c>
      <c r="B363" t="s">
        <v>276</v>
      </c>
      <c r="C363" t="s">
        <v>536</v>
      </c>
      <c r="D363">
        <v>0</v>
      </c>
      <c r="E363">
        <v>0</v>
      </c>
      <c r="G363" s="4" t="str">
        <f>IFERROR(INDEX('2b. Dataset in R'!$H:$H,MATCH($A363,'2b. Dataset in R'!$A:$A,0)),PROPER($B363))</f>
        <v>Character</v>
      </c>
    </row>
    <row r="364" spans="1:7" x14ac:dyDescent="0.3">
      <c r="A364" t="s">
        <v>1231</v>
      </c>
      <c r="B364" t="s">
        <v>277</v>
      </c>
      <c r="C364" t="s">
        <v>1231</v>
      </c>
      <c r="D364">
        <v>0</v>
      </c>
      <c r="E364">
        <v>0</v>
      </c>
      <c r="F364" s="4" t="s">
        <v>87</v>
      </c>
      <c r="G364" s="4" t="str">
        <f>IFERROR(INDEX('2b. Dataset in R'!$H:$H,MATCH($A364,'2b. Dataset in R'!$A:$A,0)),PROPER($B364))</f>
        <v>Integer</v>
      </c>
    </row>
    <row r="365" spans="1:7" x14ac:dyDescent="0.3">
      <c r="A365" t="s">
        <v>1232</v>
      </c>
      <c r="B365" t="s">
        <v>277</v>
      </c>
      <c r="C365" t="s">
        <v>1232</v>
      </c>
      <c r="D365">
        <v>0</v>
      </c>
      <c r="E365">
        <v>0</v>
      </c>
      <c r="F365" s="4" t="s">
        <v>87</v>
      </c>
      <c r="G365" s="4" t="str">
        <f>IFERROR(INDEX('2b. Dataset in R'!$H:$H,MATCH($A365,'2b. Dataset in R'!$A:$A,0)),PROPER($B365))</f>
        <v>Integer</v>
      </c>
    </row>
    <row r="366" spans="1:7" x14ac:dyDescent="0.3">
      <c r="A366" t="s">
        <v>1233</v>
      </c>
      <c r="B366" t="s">
        <v>277</v>
      </c>
      <c r="C366" t="s">
        <v>1233</v>
      </c>
      <c r="D366">
        <v>0</v>
      </c>
      <c r="E366">
        <v>0</v>
      </c>
      <c r="F366" s="4" t="s">
        <v>87</v>
      </c>
      <c r="G366" s="4" t="str">
        <f>IFERROR(INDEX('2b. Dataset in R'!$H:$H,MATCH($A366,'2b. Dataset in R'!$A:$A,0)),PROPER($B366))</f>
        <v>Integer</v>
      </c>
    </row>
    <row r="367" spans="1:7" x14ac:dyDescent="0.3">
      <c r="A367" t="s">
        <v>1234</v>
      </c>
      <c r="B367" t="s">
        <v>277</v>
      </c>
      <c r="C367" t="s">
        <v>1234</v>
      </c>
      <c r="D367">
        <v>0</v>
      </c>
      <c r="E367">
        <v>0</v>
      </c>
      <c r="F367" s="4" t="s">
        <v>87</v>
      </c>
      <c r="G367" s="4" t="str">
        <f>IFERROR(INDEX('2b. Dataset in R'!$H:$H,MATCH($A367,'2b. Dataset in R'!$A:$A,0)),PROPER($B367))</f>
        <v>Integer</v>
      </c>
    </row>
    <row r="368" spans="1:7" x14ac:dyDescent="0.3">
      <c r="A368" t="s">
        <v>1235</v>
      </c>
      <c r="B368" t="s">
        <v>277</v>
      </c>
      <c r="C368" t="s">
        <v>1235</v>
      </c>
      <c r="D368">
        <v>0</v>
      </c>
      <c r="E368">
        <v>0</v>
      </c>
      <c r="G368" s="4" t="str">
        <f>IFERROR(INDEX('2b. Dataset in R'!$H:$H,MATCH($A368,'2b. Dataset in R'!$A:$A,0)),PROPER($B368))</f>
        <v>Integer</v>
      </c>
    </row>
    <row r="369" spans="1:7" x14ac:dyDescent="0.3">
      <c r="A369" t="s">
        <v>1236</v>
      </c>
      <c r="B369" t="s">
        <v>277</v>
      </c>
      <c r="C369" t="s">
        <v>1236</v>
      </c>
      <c r="D369">
        <v>0</v>
      </c>
      <c r="E369">
        <v>0</v>
      </c>
      <c r="F369" s="4" t="s">
        <v>87</v>
      </c>
      <c r="G369" s="4" t="str">
        <f>IFERROR(INDEX('2b. Dataset in R'!$H:$H,MATCH($A369,'2b. Dataset in R'!$A:$A,0)),PROPER($B369))</f>
        <v>Integer</v>
      </c>
    </row>
    <row r="370" spans="1:7" x14ac:dyDescent="0.3">
      <c r="A370" t="s">
        <v>1237</v>
      </c>
      <c r="B370" t="s">
        <v>277</v>
      </c>
      <c r="C370" t="s">
        <v>1237</v>
      </c>
      <c r="D370">
        <v>0</v>
      </c>
      <c r="E370">
        <v>0</v>
      </c>
      <c r="F370" s="4" t="s">
        <v>87</v>
      </c>
      <c r="G370" s="4" t="str">
        <f>IFERROR(INDEX('2b. Dataset in R'!$H:$H,MATCH($A370,'2b. Dataset in R'!$A:$A,0)),PROPER($B370))</f>
        <v>Integer</v>
      </c>
    </row>
    <row r="371" spans="1:7" x14ac:dyDescent="0.3">
      <c r="A371" t="s">
        <v>1238</v>
      </c>
      <c r="B371" t="s">
        <v>277</v>
      </c>
      <c r="C371" t="s">
        <v>1238</v>
      </c>
      <c r="D371">
        <v>0</v>
      </c>
      <c r="E371">
        <v>0</v>
      </c>
      <c r="F371" s="4" t="s">
        <v>87</v>
      </c>
      <c r="G371" s="4" t="str">
        <f>IFERROR(INDEX('2b. Dataset in R'!$H:$H,MATCH($A371,'2b. Dataset in R'!$A:$A,0)),PROPER($B371))</f>
        <v>Integer</v>
      </c>
    </row>
    <row r="372" spans="1:7" x14ac:dyDescent="0.3">
      <c r="A372" t="s">
        <v>1239</v>
      </c>
      <c r="B372" t="s">
        <v>277</v>
      </c>
      <c r="C372" t="s">
        <v>1239</v>
      </c>
      <c r="D372">
        <v>0</v>
      </c>
      <c r="E372">
        <v>0</v>
      </c>
      <c r="F372" s="4" t="s">
        <v>87</v>
      </c>
      <c r="G372" s="4" t="str">
        <f>IFERROR(INDEX('2b. Dataset in R'!$H:$H,MATCH($A372,'2b. Dataset in R'!$A:$A,0)),PROPER($B372))</f>
        <v>Integer</v>
      </c>
    </row>
    <row r="373" spans="1:7" x14ac:dyDescent="0.3">
      <c r="A373" t="s">
        <v>1240</v>
      </c>
      <c r="B373" t="s">
        <v>277</v>
      </c>
      <c r="C373" t="s">
        <v>1240</v>
      </c>
      <c r="D373">
        <v>0</v>
      </c>
      <c r="E373">
        <v>0</v>
      </c>
      <c r="F373" s="4" t="s">
        <v>87</v>
      </c>
      <c r="G373" s="4" t="str">
        <f>IFERROR(INDEX('2b. Dataset in R'!$H:$H,MATCH($A373,'2b. Dataset in R'!$A:$A,0)),PROPER($B373))</f>
        <v>Integer</v>
      </c>
    </row>
    <row r="374" spans="1:7" x14ac:dyDescent="0.3">
      <c r="A374" t="s">
        <v>1241</v>
      </c>
      <c r="B374" t="s">
        <v>277</v>
      </c>
      <c r="C374" t="s">
        <v>1241</v>
      </c>
      <c r="D374">
        <v>0</v>
      </c>
      <c r="E374">
        <v>0</v>
      </c>
      <c r="F374" s="4" t="s">
        <v>87</v>
      </c>
      <c r="G374" s="4" t="str">
        <f>IFERROR(INDEX('2b. Dataset in R'!$H:$H,MATCH($A374,'2b. Dataset in R'!$A:$A,0)),PROPER($B374))</f>
        <v>Integer</v>
      </c>
    </row>
    <row r="375" spans="1:7" x14ac:dyDescent="0.3">
      <c r="A375" t="s">
        <v>1242</v>
      </c>
      <c r="B375" t="s">
        <v>277</v>
      </c>
      <c r="C375" t="s">
        <v>1242</v>
      </c>
      <c r="D375">
        <v>0</v>
      </c>
      <c r="E375">
        <v>0</v>
      </c>
      <c r="F375" s="4" t="s">
        <v>87</v>
      </c>
      <c r="G375" s="4" t="str">
        <f>IFERROR(INDEX('2b. Dataset in R'!$H:$H,MATCH($A375,'2b. Dataset in R'!$A:$A,0)),PROPER($B375))</f>
        <v>Integer</v>
      </c>
    </row>
    <row r="376" spans="1:7" x14ac:dyDescent="0.3">
      <c r="A376" t="s">
        <v>540</v>
      </c>
      <c r="B376" t="s">
        <v>276</v>
      </c>
      <c r="C376" t="s">
        <v>540</v>
      </c>
      <c r="D376">
        <v>0</v>
      </c>
      <c r="E376">
        <v>0</v>
      </c>
      <c r="G376" s="4" t="str">
        <f>IFERROR(INDEX('2b. Dataset in R'!$H:$H,MATCH($A376,'2b. Dataset in R'!$A:$A,0)),PROPER($B376))</f>
        <v>Character</v>
      </c>
    </row>
    <row r="377" spans="1:7" x14ac:dyDescent="0.3">
      <c r="A377" t="s">
        <v>1243</v>
      </c>
      <c r="B377" t="s">
        <v>277</v>
      </c>
      <c r="C377" t="s">
        <v>1243</v>
      </c>
      <c r="D377">
        <v>0</v>
      </c>
      <c r="E377">
        <v>0</v>
      </c>
      <c r="G377" s="4" t="str">
        <f>IFERROR(INDEX('2b. Dataset in R'!$H:$H,MATCH($A377,'2b. Dataset in R'!$A:$A,0)),PROPER($B377))</f>
        <v>Integer</v>
      </c>
    </row>
    <row r="378" spans="1:7" x14ac:dyDescent="0.3">
      <c r="A378" t="s">
        <v>1244</v>
      </c>
      <c r="B378" t="s">
        <v>277</v>
      </c>
      <c r="C378" t="s">
        <v>1244</v>
      </c>
      <c r="D378">
        <v>0</v>
      </c>
      <c r="E378">
        <v>0</v>
      </c>
      <c r="F378" s="4" t="s">
        <v>87</v>
      </c>
      <c r="G378" s="4" t="str">
        <f>IFERROR(INDEX('2b. Dataset in R'!$H:$H,MATCH($A378,'2b. Dataset in R'!$A:$A,0)),PROPER($B378))</f>
        <v>Integer</v>
      </c>
    </row>
    <row r="379" spans="1:7" x14ac:dyDescent="0.3">
      <c r="A379" t="s">
        <v>1245</v>
      </c>
      <c r="B379" t="s">
        <v>277</v>
      </c>
      <c r="C379" t="s">
        <v>1245</v>
      </c>
      <c r="D379">
        <v>0</v>
      </c>
      <c r="E379">
        <v>0</v>
      </c>
      <c r="F379" s="4" t="s">
        <v>87</v>
      </c>
      <c r="G379" s="4" t="str">
        <f>IFERROR(INDEX('2b. Dataset in R'!$H:$H,MATCH($A379,'2b. Dataset in R'!$A:$A,0)),PROPER($B379))</f>
        <v>Integer</v>
      </c>
    </row>
    <row r="380" spans="1:7" x14ac:dyDescent="0.3">
      <c r="A380" t="s">
        <v>541</v>
      </c>
      <c r="B380" t="s">
        <v>276</v>
      </c>
      <c r="C380" t="s">
        <v>541</v>
      </c>
      <c r="D380">
        <v>0</v>
      </c>
      <c r="E380">
        <v>0</v>
      </c>
      <c r="G380" s="4" t="str">
        <f>IFERROR(INDEX('2b. Dataset in R'!$H:$H,MATCH($A380,'2b. Dataset in R'!$A:$A,0)),PROPER($B380))</f>
        <v>Character</v>
      </c>
    </row>
    <row r="381" spans="1:7" x14ac:dyDescent="0.3">
      <c r="A381" t="s">
        <v>1246</v>
      </c>
      <c r="B381" t="s">
        <v>277</v>
      </c>
      <c r="C381" t="s">
        <v>1246</v>
      </c>
      <c r="D381">
        <v>0</v>
      </c>
      <c r="E381">
        <v>0</v>
      </c>
      <c r="F381" s="4" t="s">
        <v>87</v>
      </c>
      <c r="G381" s="4" t="str">
        <f>IFERROR(INDEX('2b. Dataset in R'!$H:$H,MATCH($A381,'2b. Dataset in R'!$A:$A,0)),PROPER($B381))</f>
        <v>Integer</v>
      </c>
    </row>
    <row r="382" spans="1:7" x14ac:dyDescent="0.3">
      <c r="A382" t="s">
        <v>1247</v>
      </c>
      <c r="B382" t="s">
        <v>277</v>
      </c>
      <c r="C382" t="s">
        <v>1247</v>
      </c>
      <c r="D382">
        <v>0</v>
      </c>
      <c r="E382">
        <v>0</v>
      </c>
      <c r="F382" s="4" t="s">
        <v>87</v>
      </c>
      <c r="G382" s="4" t="str">
        <f>IFERROR(INDEX('2b. Dataset in R'!$H:$H,MATCH($A382,'2b. Dataset in R'!$A:$A,0)),PROPER($B382))</f>
        <v>Integer</v>
      </c>
    </row>
    <row r="383" spans="1:7" x14ac:dyDescent="0.3">
      <c r="A383" t="s">
        <v>1248</v>
      </c>
      <c r="B383" t="s">
        <v>277</v>
      </c>
      <c r="C383" t="s">
        <v>1248</v>
      </c>
      <c r="D383">
        <v>0</v>
      </c>
      <c r="E383">
        <v>0</v>
      </c>
      <c r="F383" s="4" t="s">
        <v>87</v>
      </c>
      <c r="G383" s="4" t="str">
        <f>IFERROR(INDEX('2b. Dataset in R'!$H:$H,MATCH($A383,'2b. Dataset in R'!$A:$A,0)),PROPER($B383))</f>
        <v>Integer</v>
      </c>
    </row>
    <row r="384" spans="1:7" x14ac:dyDescent="0.3">
      <c r="A384" t="s">
        <v>1249</v>
      </c>
      <c r="B384" t="s">
        <v>277</v>
      </c>
      <c r="C384" t="s">
        <v>1249</v>
      </c>
      <c r="D384">
        <v>0</v>
      </c>
      <c r="E384">
        <v>0</v>
      </c>
      <c r="G384" s="4" t="str">
        <f>IFERROR(INDEX('2b. Dataset in R'!$H:$H,MATCH($A384,'2b. Dataset in R'!$A:$A,0)),PROPER($B384))</f>
        <v>Integer</v>
      </c>
    </row>
    <row r="385" spans="1:7" x14ac:dyDescent="0.3">
      <c r="A385" t="s">
        <v>1250</v>
      </c>
      <c r="B385" t="s">
        <v>277</v>
      </c>
      <c r="C385" t="s">
        <v>1250</v>
      </c>
      <c r="D385">
        <v>0</v>
      </c>
      <c r="E385">
        <v>0</v>
      </c>
      <c r="F385" s="4" t="s">
        <v>87</v>
      </c>
      <c r="G385" s="4" t="str">
        <f>IFERROR(INDEX('2b. Dataset in R'!$H:$H,MATCH($A385,'2b. Dataset in R'!$A:$A,0)),PROPER($B385))</f>
        <v>Integer</v>
      </c>
    </row>
    <row r="386" spans="1:7" x14ac:dyDescent="0.3">
      <c r="A386" t="s">
        <v>1251</v>
      </c>
      <c r="B386" t="s">
        <v>277</v>
      </c>
      <c r="C386" t="s">
        <v>1251</v>
      </c>
      <c r="D386">
        <v>0</v>
      </c>
      <c r="E386">
        <v>0</v>
      </c>
      <c r="F386" s="4" t="s">
        <v>87</v>
      </c>
      <c r="G386" s="4" t="str">
        <f>IFERROR(INDEX('2b. Dataset in R'!$H:$H,MATCH($A386,'2b. Dataset in R'!$A:$A,0)),PROPER($B386))</f>
        <v>Integer</v>
      </c>
    </row>
    <row r="387" spans="1:7" x14ac:dyDescent="0.3">
      <c r="A387" t="s">
        <v>1252</v>
      </c>
      <c r="B387" t="s">
        <v>277</v>
      </c>
      <c r="C387" t="s">
        <v>1252</v>
      </c>
      <c r="D387">
        <v>0</v>
      </c>
      <c r="E387">
        <v>0</v>
      </c>
      <c r="F387" s="4" t="s">
        <v>87</v>
      </c>
      <c r="G387" s="4" t="str">
        <f>IFERROR(INDEX('2b. Dataset in R'!$H:$H,MATCH($A387,'2b. Dataset in R'!$A:$A,0)),PROPER($B387))</f>
        <v>Integer</v>
      </c>
    </row>
    <row r="388" spans="1:7" x14ac:dyDescent="0.3">
      <c r="A388" t="s">
        <v>1253</v>
      </c>
      <c r="B388" t="s">
        <v>277</v>
      </c>
      <c r="C388" t="s">
        <v>1253</v>
      </c>
      <c r="D388">
        <v>0</v>
      </c>
      <c r="E388">
        <v>0</v>
      </c>
      <c r="F388" s="4" t="s">
        <v>87</v>
      </c>
      <c r="G388" s="4" t="str">
        <f>IFERROR(INDEX('2b. Dataset in R'!$H:$H,MATCH($A388,'2b. Dataset in R'!$A:$A,0)),PROPER($B388))</f>
        <v>Integer</v>
      </c>
    </row>
    <row r="389" spans="1:7" x14ac:dyDescent="0.3">
      <c r="A389" t="s">
        <v>545</v>
      </c>
      <c r="B389" t="s">
        <v>276</v>
      </c>
      <c r="C389" t="s">
        <v>545</v>
      </c>
      <c r="D389">
        <v>0</v>
      </c>
      <c r="E389">
        <v>0</v>
      </c>
      <c r="G389" s="4" t="str">
        <f>IFERROR(INDEX('2b. Dataset in R'!$H:$H,MATCH($A389,'2b. Dataset in R'!$A:$A,0)),PROPER($B389))</f>
        <v>Character</v>
      </c>
    </row>
    <row r="390" spans="1:7" x14ac:dyDescent="0.3">
      <c r="A390" t="s">
        <v>1254</v>
      </c>
      <c r="B390" t="s">
        <v>277</v>
      </c>
      <c r="C390" t="s">
        <v>1254</v>
      </c>
      <c r="D390">
        <v>0</v>
      </c>
      <c r="E390">
        <v>0</v>
      </c>
      <c r="G390" s="4" t="str">
        <f>IFERROR(INDEX('2b. Dataset in R'!$H:$H,MATCH($A390,'2b. Dataset in R'!$A:$A,0)),PROPER($B390))</f>
        <v>Integer</v>
      </c>
    </row>
    <row r="391" spans="1:7" x14ac:dyDescent="0.3">
      <c r="A391" t="s">
        <v>1255</v>
      </c>
      <c r="B391" t="s">
        <v>277</v>
      </c>
      <c r="C391" t="s">
        <v>1255</v>
      </c>
      <c r="D391">
        <v>0</v>
      </c>
      <c r="E391">
        <v>0</v>
      </c>
      <c r="F391" s="4" t="s">
        <v>87</v>
      </c>
      <c r="G391" s="4" t="str">
        <f>IFERROR(INDEX('2b. Dataset in R'!$H:$H,MATCH($A391,'2b. Dataset in R'!$A:$A,0)),PROPER($B391))</f>
        <v>Integer</v>
      </c>
    </row>
    <row r="392" spans="1:7" x14ac:dyDescent="0.3">
      <c r="A392" t="s">
        <v>1256</v>
      </c>
      <c r="B392" t="s">
        <v>277</v>
      </c>
      <c r="C392" t="s">
        <v>1256</v>
      </c>
      <c r="D392">
        <v>0</v>
      </c>
      <c r="E392">
        <v>0</v>
      </c>
      <c r="F392" s="4" t="s">
        <v>87</v>
      </c>
      <c r="G392" s="4" t="str">
        <f>IFERROR(INDEX('2b. Dataset in R'!$H:$H,MATCH($A392,'2b. Dataset in R'!$A:$A,0)),PROPER($B392))</f>
        <v>Integer</v>
      </c>
    </row>
    <row r="393" spans="1:7" x14ac:dyDescent="0.3">
      <c r="A393" t="s">
        <v>546</v>
      </c>
      <c r="B393" t="s">
        <v>276</v>
      </c>
      <c r="C393" t="s">
        <v>546</v>
      </c>
      <c r="D393">
        <v>0</v>
      </c>
      <c r="E393">
        <v>0</v>
      </c>
      <c r="G393" s="4" t="str">
        <f>IFERROR(INDEX('2b. Dataset in R'!$H:$H,MATCH($A393,'2b. Dataset in R'!$A:$A,0)),PROPER($B393))</f>
        <v>Character</v>
      </c>
    </row>
    <row r="394" spans="1:7" x14ac:dyDescent="0.3">
      <c r="A394" t="s">
        <v>1257</v>
      </c>
      <c r="B394" t="s">
        <v>277</v>
      </c>
      <c r="C394" t="s">
        <v>1257</v>
      </c>
      <c r="D394">
        <v>0</v>
      </c>
      <c r="E394">
        <v>0</v>
      </c>
      <c r="F394" s="4" t="s">
        <v>87</v>
      </c>
      <c r="G394" s="4" t="str">
        <f>IFERROR(INDEX('2b. Dataset in R'!$H:$H,MATCH($A394,'2b. Dataset in R'!$A:$A,0)),PROPER($B394))</f>
        <v>Integer</v>
      </c>
    </row>
    <row r="395" spans="1:7" x14ac:dyDescent="0.3">
      <c r="A395" t="s">
        <v>1258</v>
      </c>
      <c r="B395" t="s">
        <v>277</v>
      </c>
      <c r="C395" t="s">
        <v>1258</v>
      </c>
      <c r="D395">
        <v>0</v>
      </c>
      <c r="E395">
        <v>0</v>
      </c>
      <c r="F395" s="4" t="s">
        <v>87</v>
      </c>
      <c r="G395" s="4" t="str">
        <f>IFERROR(INDEX('2b. Dataset in R'!$H:$H,MATCH($A395,'2b. Dataset in R'!$A:$A,0)),PROPER($B395))</f>
        <v>Integer</v>
      </c>
    </row>
    <row r="396" spans="1:7" x14ac:dyDescent="0.3">
      <c r="A396" t="s">
        <v>1259</v>
      </c>
      <c r="B396" t="s">
        <v>277</v>
      </c>
      <c r="C396" t="s">
        <v>1259</v>
      </c>
      <c r="D396">
        <v>0</v>
      </c>
      <c r="E396">
        <v>0</v>
      </c>
      <c r="G396" s="4" t="str">
        <f>IFERROR(INDEX('2b. Dataset in R'!$H:$H,MATCH($A396,'2b. Dataset in R'!$A:$A,0)),PROPER($B396))</f>
        <v>Integer</v>
      </c>
    </row>
    <row r="397" spans="1:7" x14ac:dyDescent="0.3">
      <c r="A397" t="s">
        <v>1260</v>
      </c>
      <c r="B397" t="s">
        <v>277</v>
      </c>
      <c r="C397" t="s">
        <v>1260</v>
      </c>
      <c r="D397">
        <v>0</v>
      </c>
      <c r="E397">
        <v>0</v>
      </c>
      <c r="F397" s="4" t="s">
        <v>87</v>
      </c>
      <c r="G397" s="4" t="str">
        <f>IFERROR(INDEX('2b. Dataset in R'!$H:$H,MATCH($A397,'2b. Dataset in R'!$A:$A,0)),PROPER($B397))</f>
        <v>Integer</v>
      </c>
    </row>
    <row r="398" spans="1:7" x14ac:dyDescent="0.3">
      <c r="A398" t="s">
        <v>550</v>
      </c>
      <c r="B398" t="s">
        <v>276</v>
      </c>
      <c r="C398" t="s">
        <v>550</v>
      </c>
      <c r="D398">
        <v>0</v>
      </c>
      <c r="E398">
        <v>0</v>
      </c>
      <c r="G398" s="4" t="str">
        <f>IFERROR(INDEX('2b. Dataset in R'!$H:$H,MATCH($A398,'2b. Dataset in R'!$A:$A,0)),PROPER($B398))</f>
        <v>Character</v>
      </c>
    </row>
    <row r="399" spans="1:7" x14ac:dyDescent="0.3">
      <c r="A399" t="s">
        <v>1261</v>
      </c>
      <c r="B399" t="s">
        <v>277</v>
      </c>
      <c r="C399" t="s">
        <v>1261</v>
      </c>
      <c r="D399">
        <v>0</v>
      </c>
      <c r="E399">
        <v>0</v>
      </c>
      <c r="G399" s="4" t="str">
        <f>IFERROR(INDEX('2b. Dataset in R'!$H:$H,MATCH($A399,'2b. Dataset in R'!$A:$A,0)),PROPER($B399))</f>
        <v>Integer</v>
      </c>
    </row>
    <row r="400" spans="1:7" x14ac:dyDescent="0.3">
      <c r="A400" t="s">
        <v>1262</v>
      </c>
      <c r="B400" t="s">
        <v>277</v>
      </c>
      <c r="C400" t="s">
        <v>1262</v>
      </c>
      <c r="D400">
        <v>0</v>
      </c>
      <c r="E400">
        <v>0</v>
      </c>
      <c r="F400" s="4" t="s">
        <v>87</v>
      </c>
      <c r="G400" s="4" t="str">
        <f>IFERROR(INDEX('2b. Dataset in R'!$H:$H,MATCH($A400,'2b. Dataset in R'!$A:$A,0)),PROPER($B400))</f>
        <v>Integer</v>
      </c>
    </row>
    <row r="401" spans="1:7" x14ac:dyDescent="0.3">
      <c r="A401" t="s">
        <v>551</v>
      </c>
      <c r="B401" t="s">
        <v>276</v>
      </c>
      <c r="C401" t="s">
        <v>551</v>
      </c>
      <c r="D401">
        <v>0</v>
      </c>
      <c r="E401">
        <v>0</v>
      </c>
      <c r="G401" s="4" t="str">
        <f>IFERROR(INDEX('2b. Dataset in R'!$H:$H,MATCH($A401,'2b. Dataset in R'!$A:$A,0)),PROPER($B401))</f>
        <v>Character</v>
      </c>
    </row>
    <row r="402" spans="1:7" x14ac:dyDescent="0.3">
      <c r="A402" t="s">
        <v>1263</v>
      </c>
      <c r="B402" t="s">
        <v>277</v>
      </c>
      <c r="C402" t="s">
        <v>1263</v>
      </c>
      <c r="D402">
        <v>0</v>
      </c>
      <c r="E402">
        <v>0</v>
      </c>
      <c r="G402" s="4" t="str">
        <f>IFERROR(INDEX('2b. Dataset in R'!$H:$H,MATCH($A402,'2b. Dataset in R'!$A:$A,0)),PROPER($B402))</f>
        <v>Integer</v>
      </c>
    </row>
    <row r="403" spans="1:7" x14ac:dyDescent="0.3">
      <c r="A403" t="s">
        <v>1264</v>
      </c>
      <c r="B403" t="s">
        <v>277</v>
      </c>
      <c r="C403" t="s">
        <v>1264</v>
      </c>
      <c r="D403">
        <v>0</v>
      </c>
      <c r="E403">
        <v>0</v>
      </c>
      <c r="F403" s="4" t="s">
        <v>87</v>
      </c>
      <c r="G403" s="4" t="str">
        <f>IFERROR(INDEX('2b. Dataset in R'!$H:$H,MATCH($A403,'2b. Dataset in R'!$A:$A,0)),PROPER($B403))</f>
        <v>Integer</v>
      </c>
    </row>
    <row r="404" spans="1:7" x14ac:dyDescent="0.3">
      <c r="A404" t="s">
        <v>555</v>
      </c>
      <c r="B404" t="s">
        <v>276</v>
      </c>
      <c r="C404" t="s">
        <v>555</v>
      </c>
      <c r="D404">
        <v>0</v>
      </c>
      <c r="E404">
        <v>0</v>
      </c>
      <c r="G404" s="4" t="str">
        <f>IFERROR(INDEX('2b. Dataset in R'!$H:$H,MATCH($A404,'2b. Dataset in R'!$A:$A,0)),PROPER($B404))</f>
        <v>Character</v>
      </c>
    </row>
    <row r="405" spans="1:7" x14ac:dyDescent="0.3">
      <c r="A405" t="s">
        <v>1265</v>
      </c>
      <c r="B405" t="s">
        <v>277</v>
      </c>
      <c r="C405" t="s">
        <v>1265</v>
      </c>
      <c r="D405">
        <v>0</v>
      </c>
      <c r="E405">
        <v>0</v>
      </c>
      <c r="F405" s="4" t="s">
        <v>87</v>
      </c>
      <c r="G405" s="4" t="str">
        <f>IFERROR(INDEX('2b. Dataset in R'!$H:$H,MATCH($A405,'2b. Dataset in R'!$A:$A,0)),PROPER($B405))</f>
        <v>Integer</v>
      </c>
    </row>
    <row r="406" spans="1:7" x14ac:dyDescent="0.3">
      <c r="A406" t="s">
        <v>1266</v>
      </c>
      <c r="B406" t="s">
        <v>277</v>
      </c>
      <c r="C406" t="s">
        <v>1266</v>
      </c>
      <c r="D406">
        <v>0</v>
      </c>
      <c r="E406">
        <v>0</v>
      </c>
      <c r="F406" s="4" t="s">
        <v>87</v>
      </c>
      <c r="G406" s="4" t="str">
        <f>IFERROR(INDEX('2b. Dataset in R'!$H:$H,MATCH($A406,'2b. Dataset in R'!$A:$A,0)),PROPER($B406))</f>
        <v>Integer</v>
      </c>
    </row>
    <row r="407" spans="1:7" x14ac:dyDescent="0.3">
      <c r="A407" t="s">
        <v>1267</v>
      </c>
      <c r="B407" t="s">
        <v>277</v>
      </c>
      <c r="C407" t="s">
        <v>1267</v>
      </c>
      <c r="D407">
        <v>0</v>
      </c>
      <c r="E407">
        <v>0</v>
      </c>
      <c r="F407" s="4" t="s">
        <v>87</v>
      </c>
      <c r="G407" s="4" t="str">
        <f>IFERROR(INDEX('2b. Dataset in R'!$H:$H,MATCH($A407,'2b. Dataset in R'!$A:$A,0)),PROPER($B407))</f>
        <v>Integer</v>
      </c>
    </row>
    <row r="408" spans="1:7" x14ac:dyDescent="0.3">
      <c r="A408" t="s">
        <v>1268</v>
      </c>
      <c r="B408" t="s">
        <v>277</v>
      </c>
      <c r="C408" t="s">
        <v>1268</v>
      </c>
      <c r="D408">
        <v>0</v>
      </c>
      <c r="E408">
        <v>0</v>
      </c>
      <c r="F408" s="4" t="s">
        <v>87</v>
      </c>
      <c r="G408" s="4" t="str">
        <f>IFERROR(INDEX('2b. Dataset in R'!$H:$H,MATCH($A408,'2b. Dataset in R'!$A:$A,0)),PROPER($B408))</f>
        <v>Integer</v>
      </c>
    </row>
    <row r="409" spans="1:7" x14ac:dyDescent="0.3">
      <c r="A409" t="s">
        <v>1269</v>
      </c>
      <c r="B409" t="s">
        <v>277</v>
      </c>
      <c r="C409" t="s">
        <v>1269</v>
      </c>
      <c r="D409">
        <v>0</v>
      </c>
      <c r="E409">
        <v>0</v>
      </c>
      <c r="F409" s="4" t="s">
        <v>87</v>
      </c>
      <c r="G409" s="4" t="str">
        <f>IFERROR(INDEX('2b. Dataset in R'!$H:$H,MATCH($A409,'2b. Dataset in R'!$A:$A,0)),PROPER($B409))</f>
        <v>Integer</v>
      </c>
    </row>
    <row r="410" spans="1:7" x14ac:dyDescent="0.3">
      <c r="A410" t="s">
        <v>1270</v>
      </c>
      <c r="B410" t="s">
        <v>277</v>
      </c>
      <c r="C410" t="s">
        <v>1270</v>
      </c>
      <c r="D410">
        <v>0</v>
      </c>
      <c r="E410">
        <v>0</v>
      </c>
      <c r="F410" s="4" t="s">
        <v>87</v>
      </c>
      <c r="G410" s="4" t="str">
        <f>IFERROR(INDEX('2b. Dataset in R'!$H:$H,MATCH($A410,'2b. Dataset in R'!$A:$A,0)),PROPER($B410))</f>
        <v>Integer</v>
      </c>
    </row>
    <row r="411" spans="1:7" x14ac:dyDescent="0.3">
      <c r="A411" t="s">
        <v>1271</v>
      </c>
      <c r="B411" t="s">
        <v>277</v>
      </c>
      <c r="C411" t="s">
        <v>1271</v>
      </c>
      <c r="D411">
        <v>0</v>
      </c>
      <c r="E411">
        <v>0</v>
      </c>
      <c r="F411" s="4" t="s">
        <v>87</v>
      </c>
      <c r="G411" s="4" t="str">
        <f>IFERROR(INDEX('2b. Dataset in R'!$H:$H,MATCH($A411,'2b. Dataset in R'!$A:$A,0)),PROPER($B411))</f>
        <v>Integer</v>
      </c>
    </row>
    <row r="412" spans="1:7" x14ac:dyDescent="0.3">
      <c r="A412" t="s">
        <v>1272</v>
      </c>
      <c r="B412" t="s">
        <v>277</v>
      </c>
      <c r="C412" t="s">
        <v>1272</v>
      </c>
      <c r="D412">
        <v>0</v>
      </c>
      <c r="E412">
        <v>0</v>
      </c>
      <c r="F412" s="4" t="s">
        <v>87</v>
      </c>
      <c r="G412" s="4" t="str">
        <f>IFERROR(INDEX('2b. Dataset in R'!$H:$H,MATCH($A412,'2b. Dataset in R'!$A:$A,0)),PROPER($B412))</f>
        <v>Integer</v>
      </c>
    </row>
    <row r="413" spans="1:7" x14ac:dyDescent="0.3">
      <c r="A413" t="s">
        <v>1273</v>
      </c>
      <c r="B413" t="s">
        <v>277</v>
      </c>
      <c r="C413" t="s">
        <v>1273</v>
      </c>
      <c r="D413">
        <v>0</v>
      </c>
      <c r="E413">
        <v>0</v>
      </c>
      <c r="F413" s="4" t="s">
        <v>87</v>
      </c>
      <c r="G413" s="4" t="str">
        <f>IFERROR(INDEX('2b. Dataset in R'!$H:$H,MATCH($A413,'2b. Dataset in R'!$A:$A,0)),PROPER($B413))</f>
        <v>Integer</v>
      </c>
    </row>
    <row r="414" spans="1:7" x14ac:dyDescent="0.3">
      <c r="A414" t="s">
        <v>1274</v>
      </c>
      <c r="B414" t="s">
        <v>277</v>
      </c>
      <c r="C414" t="s">
        <v>1274</v>
      </c>
      <c r="D414">
        <v>0</v>
      </c>
      <c r="E414">
        <v>0</v>
      </c>
      <c r="F414" s="4" t="s">
        <v>87</v>
      </c>
      <c r="G414" s="4" t="str">
        <f>IFERROR(INDEX('2b. Dataset in R'!$H:$H,MATCH($A414,'2b. Dataset in R'!$A:$A,0)),PROPER($B414))</f>
        <v>Integer</v>
      </c>
    </row>
    <row r="415" spans="1:7" x14ac:dyDescent="0.3">
      <c r="A415" t="s">
        <v>1275</v>
      </c>
      <c r="B415" t="s">
        <v>277</v>
      </c>
      <c r="C415" t="s">
        <v>1275</v>
      </c>
      <c r="D415">
        <v>0</v>
      </c>
      <c r="E415">
        <v>0</v>
      </c>
      <c r="F415" s="4" t="s">
        <v>87</v>
      </c>
      <c r="G415" s="4" t="str">
        <f>IFERROR(INDEX('2b. Dataset in R'!$H:$H,MATCH($A415,'2b. Dataset in R'!$A:$A,0)),PROPER($B415))</f>
        <v>Integer</v>
      </c>
    </row>
    <row r="416" spans="1:7" x14ac:dyDescent="0.3">
      <c r="A416" t="s">
        <v>1276</v>
      </c>
      <c r="B416" t="s">
        <v>277</v>
      </c>
      <c r="C416" t="s">
        <v>1276</v>
      </c>
      <c r="D416">
        <v>0</v>
      </c>
      <c r="E416">
        <v>0</v>
      </c>
      <c r="F416" s="4" t="s">
        <v>87</v>
      </c>
      <c r="G416" s="4" t="str">
        <f>IFERROR(INDEX('2b. Dataset in R'!$H:$H,MATCH($A416,'2b. Dataset in R'!$A:$A,0)),PROPER($B416))</f>
        <v>Integer</v>
      </c>
    </row>
    <row r="417" spans="1:7" x14ac:dyDescent="0.3">
      <c r="A417" t="s">
        <v>1277</v>
      </c>
      <c r="B417" t="s">
        <v>277</v>
      </c>
      <c r="C417" t="s">
        <v>1277</v>
      </c>
      <c r="D417">
        <v>0</v>
      </c>
      <c r="E417">
        <v>0</v>
      </c>
      <c r="F417" s="4" t="s">
        <v>87</v>
      </c>
      <c r="G417" s="4" t="str">
        <f>IFERROR(INDEX('2b. Dataset in R'!$H:$H,MATCH($A417,'2b. Dataset in R'!$A:$A,0)),PROPER($B417))</f>
        <v>Integer</v>
      </c>
    </row>
    <row r="418" spans="1:7" x14ac:dyDescent="0.3">
      <c r="A418" t="s">
        <v>1278</v>
      </c>
      <c r="B418" t="s">
        <v>277</v>
      </c>
      <c r="C418" t="s">
        <v>1278</v>
      </c>
      <c r="D418">
        <v>0</v>
      </c>
      <c r="E418">
        <v>0</v>
      </c>
      <c r="F418" s="4" t="s">
        <v>87</v>
      </c>
      <c r="G418" s="4" t="str">
        <f>IFERROR(INDEX('2b. Dataset in R'!$H:$H,MATCH($A418,'2b. Dataset in R'!$A:$A,0)),PROPER($B418))</f>
        <v>Integer</v>
      </c>
    </row>
    <row r="419" spans="1:7" x14ac:dyDescent="0.3">
      <c r="A419" t="s">
        <v>1279</v>
      </c>
      <c r="B419" t="s">
        <v>277</v>
      </c>
      <c r="C419" t="s">
        <v>1279</v>
      </c>
      <c r="D419">
        <v>0</v>
      </c>
      <c r="E419">
        <v>0</v>
      </c>
      <c r="F419" s="4" t="s">
        <v>87</v>
      </c>
      <c r="G419" s="4" t="str">
        <f>IFERROR(INDEX('2b. Dataset in R'!$H:$H,MATCH($A419,'2b. Dataset in R'!$A:$A,0)),PROPER($B419))</f>
        <v>Integer</v>
      </c>
    </row>
    <row r="420" spans="1:7" x14ac:dyDescent="0.3">
      <c r="A420" t="s">
        <v>1280</v>
      </c>
      <c r="B420" t="s">
        <v>277</v>
      </c>
      <c r="C420" t="s">
        <v>1280</v>
      </c>
      <c r="D420">
        <v>0</v>
      </c>
      <c r="E420">
        <v>0</v>
      </c>
      <c r="F420" s="4" t="s">
        <v>87</v>
      </c>
      <c r="G420" s="4" t="str">
        <f>IFERROR(INDEX('2b. Dataset in R'!$H:$H,MATCH($A420,'2b. Dataset in R'!$A:$A,0)),PROPER($B420))</f>
        <v>Integer</v>
      </c>
    </row>
    <row r="421" spans="1:7" x14ac:dyDescent="0.3">
      <c r="A421" t="s">
        <v>1281</v>
      </c>
      <c r="B421" t="s">
        <v>277</v>
      </c>
      <c r="C421" t="s">
        <v>1281</v>
      </c>
      <c r="D421">
        <v>0</v>
      </c>
      <c r="E421">
        <v>0</v>
      </c>
      <c r="F421" s="4" t="s">
        <v>87</v>
      </c>
      <c r="G421" s="4" t="str">
        <f>IFERROR(INDEX('2b. Dataset in R'!$H:$H,MATCH($A421,'2b. Dataset in R'!$A:$A,0)),PROPER($B421))</f>
        <v>Integer</v>
      </c>
    </row>
    <row r="422" spans="1:7" x14ac:dyDescent="0.3">
      <c r="A422" t="s">
        <v>1282</v>
      </c>
      <c r="B422" t="s">
        <v>277</v>
      </c>
      <c r="C422" t="s">
        <v>1282</v>
      </c>
      <c r="D422">
        <v>0</v>
      </c>
      <c r="E422">
        <v>0</v>
      </c>
      <c r="G422" s="4" t="str">
        <f>IFERROR(INDEX('2b. Dataset in R'!$H:$H,MATCH($A422,'2b. Dataset in R'!$A:$A,0)),PROPER($B422))</f>
        <v>Integer</v>
      </c>
    </row>
    <row r="423" spans="1:7" x14ac:dyDescent="0.3">
      <c r="A423" t="s">
        <v>1283</v>
      </c>
      <c r="B423" t="s">
        <v>277</v>
      </c>
      <c r="C423" t="s">
        <v>1283</v>
      </c>
      <c r="D423">
        <v>0</v>
      </c>
      <c r="E423">
        <v>0</v>
      </c>
      <c r="F423" s="4" t="s">
        <v>87</v>
      </c>
      <c r="G423" s="4" t="str">
        <f>IFERROR(INDEX('2b. Dataset in R'!$H:$H,MATCH($A423,'2b. Dataset in R'!$A:$A,0)),PROPER($B423))</f>
        <v>Integer</v>
      </c>
    </row>
    <row r="424" spans="1:7" x14ac:dyDescent="0.3">
      <c r="A424" t="s">
        <v>1284</v>
      </c>
      <c r="B424" t="s">
        <v>277</v>
      </c>
      <c r="C424" t="s">
        <v>1284</v>
      </c>
      <c r="D424">
        <v>0</v>
      </c>
      <c r="E424">
        <v>0</v>
      </c>
      <c r="F424" s="4" t="s">
        <v>87</v>
      </c>
      <c r="G424" s="4" t="str">
        <f>IFERROR(INDEX('2b. Dataset in R'!$H:$H,MATCH($A424,'2b. Dataset in R'!$A:$A,0)),PROPER($B424))</f>
        <v>Integer</v>
      </c>
    </row>
    <row r="425" spans="1:7" x14ac:dyDescent="0.3">
      <c r="A425" t="s">
        <v>1285</v>
      </c>
      <c r="B425" t="s">
        <v>277</v>
      </c>
      <c r="C425" t="s">
        <v>1285</v>
      </c>
      <c r="D425">
        <v>0</v>
      </c>
      <c r="E425">
        <v>0</v>
      </c>
      <c r="F425" s="4" t="s">
        <v>87</v>
      </c>
      <c r="G425" s="4" t="str">
        <f>IFERROR(INDEX('2b. Dataset in R'!$H:$H,MATCH($A425,'2b. Dataset in R'!$A:$A,0)),PROPER($B425))</f>
        <v>Integer</v>
      </c>
    </row>
    <row r="426" spans="1:7" x14ac:dyDescent="0.3">
      <c r="A426" t="s">
        <v>1286</v>
      </c>
      <c r="B426" t="s">
        <v>277</v>
      </c>
      <c r="C426" t="s">
        <v>1286</v>
      </c>
      <c r="D426">
        <v>0</v>
      </c>
      <c r="E426">
        <v>0</v>
      </c>
      <c r="F426" s="4" t="s">
        <v>87</v>
      </c>
      <c r="G426" s="4" t="str">
        <f>IFERROR(INDEX('2b. Dataset in R'!$H:$H,MATCH($A426,'2b. Dataset in R'!$A:$A,0)),PROPER($B426))</f>
        <v>Integer</v>
      </c>
    </row>
    <row r="427" spans="1:7" x14ac:dyDescent="0.3">
      <c r="A427" t="s">
        <v>1287</v>
      </c>
      <c r="B427" t="s">
        <v>277</v>
      </c>
      <c r="C427" t="s">
        <v>1287</v>
      </c>
      <c r="D427">
        <v>0</v>
      </c>
      <c r="E427">
        <v>0</v>
      </c>
      <c r="F427" s="4" t="s">
        <v>87</v>
      </c>
      <c r="G427" s="4" t="str">
        <f>IFERROR(INDEX('2b. Dataset in R'!$H:$H,MATCH($A427,'2b. Dataset in R'!$A:$A,0)),PROPER($B427))</f>
        <v>Integer</v>
      </c>
    </row>
    <row r="428" spans="1:7" x14ac:dyDescent="0.3">
      <c r="A428" t="s">
        <v>1288</v>
      </c>
      <c r="B428" t="s">
        <v>277</v>
      </c>
      <c r="C428" t="s">
        <v>1288</v>
      </c>
      <c r="D428">
        <v>0</v>
      </c>
      <c r="E428">
        <v>0</v>
      </c>
      <c r="F428" s="4" t="s">
        <v>87</v>
      </c>
      <c r="G428" s="4" t="str">
        <f>IFERROR(INDEX('2b. Dataset in R'!$H:$H,MATCH($A428,'2b. Dataset in R'!$A:$A,0)),PROPER($B428))</f>
        <v>Integer</v>
      </c>
    </row>
    <row r="429" spans="1:7" x14ac:dyDescent="0.3">
      <c r="A429" t="s">
        <v>1289</v>
      </c>
      <c r="B429" t="s">
        <v>277</v>
      </c>
      <c r="C429" t="s">
        <v>1289</v>
      </c>
      <c r="D429">
        <v>0</v>
      </c>
      <c r="E429">
        <v>0</v>
      </c>
      <c r="F429" s="4" t="s">
        <v>87</v>
      </c>
      <c r="G429" s="4" t="str">
        <f>IFERROR(INDEX('2b. Dataset in R'!$H:$H,MATCH($A429,'2b. Dataset in R'!$A:$A,0)),PROPER($B429))</f>
        <v>Integer</v>
      </c>
    </row>
    <row r="430" spans="1:7" x14ac:dyDescent="0.3">
      <c r="A430" t="s">
        <v>1290</v>
      </c>
      <c r="B430" t="s">
        <v>277</v>
      </c>
      <c r="C430" t="s">
        <v>1290</v>
      </c>
      <c r="D430">
        <v>0</v>
      </c>
      <c r="E430">
        <v>0</v>
      </c>
      <c r="F430" s="4" t="s">
        <v>87</v>
      </c>
      <c r="G430" s="4" t="str">
        <f>IFERROR(INDEX('2b. Dataset in R'!$H:$H,MATCH($A430,'2b. Dataset in R'!$A:$A,0)),PROPER($B430))</f>
        <v>Integer</v>
      </c>
    </row>
    <row r="431" spans="1:7" x14ac:dyDescent="0.3">
      <c r="A431" t="s">
        <v>1291</v>
      </c>
      <c r="B431" t="s">
        <v>277</v>
      </c>
      <c r="C431" t="s">
        <v>1291</v>
      </c>
      <c r="D431">
        <v>0</v>
      </c>
      <c r="E431">
        <v>0</v>
      </c>
      <c r="F431" s="4" t="s">
        <v>87</v>
      </c>
      <c r="G431" s="4" t="str">
        <f>IFERROR(INDEX('2b. Dataset in R'!$H:$H,MATCH($A431,'2b. Dataset in R'!$A:$A,0)),PROPER($B431))</f>
        <v>Integer</v>
      </c>
    </row>
    <row r="432" spans="1:7" x14ac:dyDescent="0.3">
      <c r="A432" t="s">
        <v>1292</v>
      </c>
      <c r="B432" t="s">
        <v>277</v>
      </c>
      <c r="C432" t="s">
        <v>1292</v>
      </c>
      <c r="D432">
        <v>0</v>
      </c>
      <c r="E432">
        <v>0</v>
      </c>
      <c r="F432" s="4" t="s">
        <v>87</v>
      </c>
      <c r="G432" s="4" t="str">
        <f>IFERROR(INDEX('2b. Dataset in R'!$H:$H,MATCH($A432,'2b. Dataset in R'!$A:$A,0)),PROPER($B432))</f>
        <v>Integer</v>
      </c>
    </row>
    <row r="433" spans="1:7" x14ac:dyDescent="0.3">
      <c r="A433" t="s">
        <v>1293</v>
      </c>
      <c r="B433" t="s">
        <v>277</v>
      </c>
      <c r="C433" t="s">
        <v>1293</v>
      </c>
      <c r="D433">
        <v>0</v>
      </c>
      <c r="E433">
        <v>0</v>
      </c>
      <c r="F433" s="4" t="s">
        <v>87</v>
      </c>
      <c r="G433" s="4" t="str">
        <f>IFERROR(INDEX('2b. Dataset in R'!$H:$H,MATCH($A433,'2b. Dataset in R'!$A:$A,0)),PROPER($B433))</f>
        <v>Integer</v>
      </c>
    </row>
    <row r="434" spans="1:7" x14ac:dyDescent="0.3">
      <c r="A434" t="s">
        <v>1294</v>
      </c>
      <c r="B434" t="s">
        <v>277</v>
      </c>
      <c r="C434" t="s">
        <v>1294</v>
      </c>
      <c r="D434">
        <v>0</v>
      </c>
      <c r="E434">
        <v>0</v>
      </c>
      <c r="F434" s="4" t="s">
        <v>87</v>
      </c>
      <c r="G434" s="4" t="str">
        <f>IFERROR(INDEX('2b. Dataset in R'!$H:$H,MATCH($A434,'2b. Dataset in R'!$A:$A,0)),PROPER($B434))</f>
        <v>Integer</v>
      </c>
    </row>
    <row r="435" spans="1:7" x14ac:dyDescent="0.3">
      <c r="A435" t="s">
        <v>1295</v>
      </c>
      <c r="B435" t="s">
        <v>277</v>
      </c>
      <c r="C435" t="s">
        <v>1295</v>
      </c>
      <c r="D435">
        <v>0</v>
      </c>
      <c r="E435">
        <v>0</v>
      </c>
      <c r="F435" s="4" t="s">
        <v>87</v>
      </c>
      <c r="G435" s="4" t="str">
        <f>IFERROR(INDEX('2b. Dataset in R'!$H:$H,MATCH($A435,'2b. Dataset in R'!$A:$A,0)),PROPER($B435))</f>
        <v>Integer</v>
      </c>
    </row>
    <row r="436" spans="1:7" x14ac:dyDescent="0.3">
      <c r="A436" t="s">
        <v>1296</v>
      </c>
      <c r="B436" t="s">
        <v>277</v>
      </c>
      <c r="C436" t="s">
        <v>1296</v>
      </c>
      <c r="D436">
        <v>0</v>
      </c>
      <c r="E436">
        <v>0</v>
      </c>
      <c r="F436" s="4" t="s">
        <v>87</v>
      </c>
      <c r="G436" s="4" t="str">
        <f>IFERROR(INDEX('2b. Dataset in R'!$H:$H,MATCH($A436,'2b. Dataset in R'!$A:$A,0)),PROPER($B436))</f>
        <v>Integer</v>
      </c>
    </row>
    <row r="437" spans="1:7" x14ac:dyDescent="0.3">
      <c r="A437" t="s">
        <v>1297</v>
      </c>
      <c r="B437" t="s">
        <v>277</v>
      </c>
      <c r="C437" t="s">
        <v>1297</v>
      </c>
      <c r="D437">
        <v>0</v>
      </c>
      <c r="E437">
        <v>0</v>
      </c>
      <c r="F437" s="4" t="s">
        <v>87</v>
      </c>
      <c r="G437" s="4" t="str">
        <f>IFERROR(INDEX('2b. Dataset in R'!$H:$H,MATCH($A437,'2b. Dataset in R'!$A:$A,0)),PROPER($B437))</f>
        <v>Integer</v>
      </c>
    </row>
    <row r="438" spans="1:7" x14ac:dyDescent="0.3">
      <c r="A438" t="s">
        <v>1298</v>
      </c>
      <c r="B438" t="s">
        <v>277</v>
      </c>
      <c r="C438" t="s">
        <v>1298</v>
      </c>
      <c r="D438">
        <v>0</v>
      </c>
      <c r="E438">
        <v>0</v>
      </c>
      <c r="F438" s="4" t="s">
        <v>87</v>
      </c>
      <c r="G438" s="4" t="str">
        <f>IFERROR(INDEX('2b. Dataset in R'!$H:$H,MATCH($A438,'2b. Dataset in R'!$A:$A,0)),PROPER($B438))</f>
        <v>Integer</v>
      </c>
    </row>
    <row r="439" spans="1:7" x14ac:dyDescent="0.3">
      <c r="A439" t="s">
        <v>556</v>
      </c>
      <c r="B439" t="s">
        <v>263</v>
      </c>
      <c r="C439" t="s">
        <v>556</v>
      </c>
      <c r="D439">
        <v>0</v>
      </c>
      <c r="E439">
        <v>0</v>
      </c>
      <c r="F439" s="4" t="s">
        <v>87</v>
      </c>
      <c r="G439" s="4" t="str">
        <f>IFERROR(INDEX('2b. Dataset in R'!$H:$H,MATCH($A439,'2b. Dataset in R'!$A:$A,0)),PROPER($B439))</f>
        <v>Numeric</v>
      </c>
    </row>
    <row r="440" spans="1:7" x14ac:dyDescent="0.3">
      <c r="A440" t="s">
        <v>559</v>
      </c>
      <c r="B440" t="s">
        <v>276</v>
      </c>
      <c r="C440" t="s">
        <v>559</v>
      </c>
      <c r="D440">
        <v>0</v>
      </c>
      <c r="E440">
        <v>0</v>
      </c>
      <c r="G440" s="4" t="str">
        <f>IFERROR(INDEX('2b. Dataset in R'!$H:$H,MATCH($A440,'2b. Dataset in R'!$A:$A,0)),PROPER($B440))</f>
        <v>Character</v>
      </c>
    </row>
    <row r="441" spans="1:7" x14ac:dyDescent="0.3">
      <c r="A441" t="s">
        <v>1299</v>
      </c>
      <c r="B441" t="s">
        <v>277</v>
      </c>
      <c r="C441" t="s">
        <v>1299</v>
      </c>
      <c r="D441">
        <v>0</v>
      </c>
      <c r="E441">
        <v>0</v>
      </c>
      <c r="F441" s="4" t="s">
        <v>87</v>
      </c>
      <c r="G441" s="4" t="str">
        <f>IFERROR(INDEX('2b. Dataset in R'!$H:$H,MATCH($A441,'2b. Dataset in R'!$A:$A,0)),PROPER($B441))</f>
        <v>Integer</v>
      </c>
    </row>
    <row r="442" spans="1:7" x14ac:dyDescent="0.3">
      <c r="A442" t="s">
        <v>1300</v>
      </c>
      <c r="B442" t="s">
        <v>277</v>
      </c>
      <c r="C442" t="s">
        <v>1300</v>
      </c>
      <c r="D442">
        <v>0</v>
      </c>
      <c r="E442">
        <v>0</v>
      </c>
      <c r="F442" s="4" t="s">
        <v>87</v>
      </c>
      <c r="G442" s="4" t="str">
        <f>IFERROR(INDEX('2b. Dataset in R'!$H:$H,MATCH($A442,'2b. Dataset in R'!$A:$A,0)),PROPER($B442))</f>
        <v>Integer</v>
      </c>
    </row>
    <row r="443" spans="1:7" x14ac:dyDescent="0.3">
      <c r="A443" t="s">
        <v>1301</v>
      </c>
      <c r="B443" t="s">
        <v>277</v>
      </c>
      <c r="C443" t="s">
        <v>1301</v>
      </c>
      <c r="D443">
        <v>0</v>
      </c>
      <c r="E443">
        <v>0</v>
      </c>
      <c r="F443" s="4" t="s">
        <v>87</v>
      </c>
      <c r="G443" s="4" t="str">
        <f>IFERROR(INDEX('2b. Dataset in R'!$H:$H,MATCH($A443,'2b. Dataset in R'!$A:$A,0)),PROPER($B443))</f>
        <v>Integer</v>
      </c>
    </row>
    <row r="444" spans="1:7" x14ac:dyDescent="0.3">
      <c r="A444" t="s">
        <v>1302</v>
      </c>
      <c r="B444" t="s">
        <v>277</v>
      </c>
      <c r="C444" t="s">
        <v>1302</v>
      </c>
      <c r="D444">
        <v>0</v>
      </c>
      <c r="E444">
        <v>0</v>
      </c>
      <c r="F444" s="4" t="s">
        <v>87</v>
      </c>
      <c r="G444" s="4" t="str">
        <f>IFERROR(INDEX('2b. Dataset in R'!$H:$H,MATCH($A444,'2b. Dataset in R'!$A:$A,0)),PROPER($B444))</f>
        <v>Integer</v>
      </c>
    </row>
    <row r="445" spans="1:7" x14ac:dyDescent="0.3">
      <c r="A445" t="s">
        <v>1303</v>
      </c>
      <c r="B445" t="s">
        <v>277</v>
      </c>
      <c r="C445" t="s">
        <v>1303</v>
      </c>
      <c r="D445">
        <v>0</v>
      </c>
      <c r="E445">
        <v>0</v>
      </c>
      <c r="F445" s="4" t="s">
        <v>87</v>
      </c>
      <c r="G445" s="4" t="str">
        <f>IFERROR(INDEX('2b. Dataset in R'!$H:$H,MATCH($A445,'2b. Dataset in R'!$A:$A,0)),PROPER($B445))</f>
        <v>Integer</v>
      </c>
    </row>
    <row r="446" spans="1:7" x14ac:dyDescent="0.3">
      <c r="A446" t="s">
        <v>1304</v>
      </c>
      <c r="B446" t="s">
        <v>277</v>
      </c>
      <c r="C446" t="s">
        <v>1304</v>
      </c>
      <c r="D446">
        <v>0</v>
      </c>
      <c r="E446">
        <v>0</v>
      </c>
      <c r="F446" s="4" t="s">
        <v>87</v>
      </c>
      <c r="G446" s="4" t="str">
        <f>IFERROR(INDEX('2b. Dataset in R'!$H:$H,MATCH($A446,'2b. Dataset in R'!$A:$A,0)),PROPER($B446))</f>
        <v>Integer</v>
      </c>
    </row>
    <row r="447" spans="1:7" x14ac:dyDescent="0.3">
      <c r="A447" t="s">
        <v>1305</v>
      </c>
      <c r="B447" t="s">
        <v>277</v>
      </c>
      <c r="C447" t="s">
        <v>1305</v>
      </c>
      <c r="D447">
        <v>0</v>
      </c>
      <c r="E447">
        <v>0</v>
      </c>
      <c r="F447" s="4" t="s">
        <v>87</v>
      </c>
      <c r="G447" s="4" t="str">
        <f>IFERROR(INDEX('2b. Dataset in R'!$H:$H,MATCH($A447,'2b. Dataset in R'!$A:$A,0)),PROPER($B447))</f>
        <v>Integer</v>
      </c>
    </row>
    <row r="448" spans="1:7" x14ac:dyDescent="0.3">
      <c r="A448" t="s">
        <v>1306</v>
      </c>
      <c r="B448" t="s">
        <v>277</v>
      </c>
      <c r="C448" t="s">
        <v>1306</v>
      </c>
      <c r="D448">
        <v>0</v>
      </c>
      <c r="E448">
        <v>0</v>
      </c>
      <c r="F448" s="4" t="s">
        <v>87</v>
      </c>
      <c r="G448" s="4" t="str">
        <f>IFERROR(INDEX('2b. Dataset in R'!$H:$H,MATCH($A448,'2b. Dataset in R'!$A:$A,0)),PROPER($B448))</f>
        <v>Integer</v>
      </c>
    </row>
    <row r="449" spans="1:7" x14ac:dyDescent="0.3">
      <c r="A449" t="s">
        <v>1307</v>
      </c>
      <c r="B449" t="s">
        <v>277</v>
      </c>
      <c r="C449" t="s">
        <v>1307</v>
      </c>
      <c r="D449">
        <v>0</v>
      </c>
      <c r="E449">
        <v>0</v>
      </c>
      <c r="F449" s="4" t="s">
        <v>87</v>
      </c>
      <c r="G449" s="4" t="str">
        <f>IFERROR(INDEX('2b. Dataset in R'!$H:$H,MATCH($A449,'2b. Dataset in R'!$A:$A,0)),PROPER($B449))</f>
        <v>Integer</v>
      </c>
    </row>
    <row r="450" spans="1:7" x14ac:dyDescent="0.3">
      <c r="A450" t="s">
        <v>1308</v>
      </c>
      <c r="B450" t="s">
        <v>277</v>
      </c>
      <c r="C450" t="s">
        <v>1308</v>
      </c>
      <c r="D450">
        <v>0</v>
      </c>
      <c r="E450">
        <v>0</v>
      </c>
      <c r="G450" s="4" t="str">
        <f>IFERROR(INDEX('2b. Dataset in R'!$H:$H,MATCH($A450,'2b. Dataset in R'!$A:$A,0)),PROPER($B450))</f>
        <v>Integer</v>
      </c>
    </row>
    <row r="451" spans="1:7" x14ac:dyDescent="0.3">
      <c r="A451" t="s">
        <v>1309</v>
      </c>
      <c r="B451" t="s">
        <v>277</v>
      </c>
      <c r="C451" t="s">
        <v>1309</v>
      </c>
      <c r="D451">
        <v>0</v>
      </c>
      <c r="E451">
        <v>0</v>
      </c>
      <c r="F451" s="4" t="s">
        <v>87</v>
      </c>
      <c r="G451" s="4" t="str">
        <f>IFERROR(INDEX('2b. Dataset in R'!$H:$H,MATCH($A451,'2b. Dataset in R'!$A:$A,0)),PROPER($B451))</f>
        <v>Integer</v>
      </c>
    </row>
    <row r="452" spans="1:7" x14ac:dyDescent="0.3">
      <c r="A452" t="s">
        <v>1310</v>
      </c>
      <c r="B452" t="s">
        <v>277</v>
      </c>
      <c r="C452" t="s">
        <v>1310</v>
      </c>
      <c r="D452">
        <v>0</v>
      </c>
      <c r="E452">
        <v>0</v>
      </c>
      <c r="F452" s="4" t="s">
        <v>87</v>
      </c>
      <c r="G452" s="4" t="str">
        <f>IFERROR(INDEX('2b. Dataset in R'!$H:$H,MATCH($A452,'2b. Dataset in R'!$A:$A,0)),PROPER($B452))</f>
        <v>Integer</v>
      </c>
    </row>
    <row r="453" spans="1:7" x14ac:dyDescent="0.3">
      <c r="A453" t="s">
        <v>1311</v>
      </c>
      <c r="B453" t="s">
        <v>277</v>
      </c>
      <c r="C453" t="s">
        <v>1311</v>
      </c>
      <c r="D453">
        <v>0</v>
      </c>
      <c r="E453">
        <v>0</v>
      </c>
      <c r="F453" s="4" t="s">
        <v>87</v>
      </c>
      <c r="G453" s="4" t="str">
        <f>IFERROR(INDEX('2b. Dataset in R'!$H:$H,MATCH($A453,'2b. Dataset in R'!$A:$A,0)),PROPER($B453))</f>
        <v>Integer</v>
      </c>
    </row>
    <row r="454" spans="1:7" x14ac:dyDescent="0.3">
      <c r="A454" t="s">
        <v>1312</v>
      </c>
      <c r="B454" t="s">
        <v>277</v>
      </c>
      <c r="C454" t="s">
        <v>1312</v>
      </c>
      <c r="D454">
        <v>0</v>
      </c>
      <c r="E454">
        <v>0</v>
      </c>
      <c r="F454" s="4" t="s">
        <v>87</v>
      </c>
      <c r="G454" s="4" t="str">
        <f>IFERROR(INDEX('2b. Dataset in R'!$H:$H,MATCH($A454,'2b. Dataset in R'!$A:$A,0)),PROPER($B454))</f>
        <v>Integer</v>
      </c>
    </row>
    <row r="455" spans="1:7" x14ac:dyDescent="0.3">
      <c r="A455" t="s">
        <v>1313</v>
      </c>
      <c r="B455" t="s">
        <v>277</v>
      </c>
      <c r="C455" t="s">
        <v>1313</v>
      </c>
      <c r="D455">
        <v>0</v>
      </c>
      <c r="E455">
        <v>0</v>
      </c>
      <c r="F455" s="4" t="s">
        <v>87</v>
      </c>
      <c r="G455" s="4" t="str">
        <f>IFERROR(INDEX('2b. Dataset in R'!$H:$H,MATCH($A455,'2b. Dataset in R'!$A:$A,0)),PROPER($B455))</f>
        <v>Integer</v>
      </c>
    </row>
    <row r="456" spans="1:7" x14ac:dyDescent="0.3">
      <c r="A456" t="s">
        <v>1314</v>
      </c>
      <c r="B456" t="s">
        <v>277</v>
      </c>
      <c r="C456" t="s">
        <v>1314</v>
      </c>
      <c r="D456">
        <v>0</v>
      </c>
      <c r="E456">
        <v>0</v>
      </c>
      <c r="F456" s="4" t="s">
        <v>87</v>
      </c>
      <c r="G456" s="4" t="str">
        <f>IFERROR(INDEX('2b. Dataset in R'!$H:$H,MATCH($A456,'2b. Dataset in R'!$A:$A,0)),PROPER($B456))</f>
        <v>Integer</v>
      </c>
    </row>
    <row r="457" spans="1:7" x14ac:dyDescent="0.3">
      <c r="A457" t="s">
        <v>1315</v>
      </c>
      <c r="B457" t="s">
        <v>277</v>
      </c>
      <c r="C457" t="s">
        <v>1315</v>
      </c>
      <c r="D457">
        <v>0</v>
      </c>
      <c r="E457">
        <v>0</v>
      </c>
      <c r="F457" s="4" t="s">
        <v>87</v>
      </c>
      <c r="G457" s="4" t="str">
        <f>IFERROR(INDEX('2b. Dataset in R'!$H:$H,MATCH($A457,'2b. Dataset in R'!$A:$A,0)),PROPER($B457))</f>
        <v>Integer</v>
      </c>
    </row>
    <row r="458" spans="1:7" x14ac:dyDescent="0.3">
      <c r="A458" t="s">
        <v>1316</v>
      </c>
      <c r="B458" t="s">
        <v>277</v>
      </c>
      <c r="C458" t="s">
        <v>1316</v>
      </c>
      <c r="D458">
        <v>0</v>
      </c>
      <c r="E458">
        <v>0</v>
      </c>
      <c r="F458" s="4" t="s">
        <v>87</v>
      </c>
      <c r="G458" s="4" t="str">
        <f>IFERROR(INDEX('2b. Dataset in R'!$H:$H,MATCH($A458,'2b. Dataset in R'!$A:$A,0)),PROPER($B458))</f>
        <v>Integer</v>
      </c>
    </row>
    <row r="459" spans="1:7" x14ac:dyDescent="0.3">
      <c r="A459" t="s">
        <v>560</v>
      </c>
      <c r="B459" t="s">
        <v>263</v>
      </c>
      <c r="C459" t="s">
        <v>560</v>
      </c>
      <c r="D459">
        <v>0</v>
      </c>
      <c r="E459">
        <v>0</v>
      </c>
      <c r="F459" s="4" t="s">
        <v>87</v>
      </c>
      <c r="G459" s="4" t="str">
        <f>IFERROR(INDEX('2b. Dataset in R'!$H:$H,MATCH($A459,'2b. Dataset in R'!$A:$A,0)),PROPER($B459))</f>
        <v>Numeric</v>
      </c>
    </row>
    <row r="460" spans="1:7" x14ac:dyDescent="0.3">
      <c r="A460" t="s">
        <v>563</v>
      </c>
      <c r="B460" t="s">
        <v>276</v>
      </c>
      <c r="C460" t="s">
        <v>563</v>
      </c>
      <c r="D460">
        <v>0</v>
      </c>
      <c r="E460">
        <v>0</v>
      </c>
      <c r="G460" s="4" t="str">
        <f>IFERROR(INDEX('2b. Dataset in R'!$H:$H,MATCH($A460,'2b. Dataset in R'!$A:$A,0)),PROPER($B460))</f>
        <v>Character</v>
      </c>
    </row>
    <row r="461" spans="1:7" x14ac:dyDescent="0.3">
      <c r="A461" t="s">
        <v>1317</v>
      </c>
      <c r="B461" t="s">
        <v>277</v>
      </c>
      <c r="C461" t="s">
        <v>1317</v>
      </c>
      <c r="D461">
        <v>0</v>
      </c>
      <c r="E461">
        <v>0</v>
      </c>
      <c r="F461" s="4" t="s">
        <v>87</v>
      </c>
      <c r="G461" s="4" t="str">
        <f>IFERROR(INDEX('2b. Dataset in R'!$H:$H,MATCH($A461,'2b. Dataset in R'!$A:$A,0)),PROPER($B461))</f>
        <v>Integer</v>
      </c>
    </row>
    <row r="462" spans="1:7" x14ac:dyDescent="0.3">
      <c r="A462" t="s">
        <v>1318</v>
      </c>
      <c r="B462" t="s">
        <v>277</v>
      </c>
      <c r="C462" t="s">
        <v>1318</v>
      </c>
      <c r="D462">
        <v>0</v>
      </c>
      <c r="E462">
        <v>0</v>
      </c>
      <c r="F462" s="4" t="s">
        <v>87</v>
      </c>
      <c r="G462" s="4" t="str">
        <f>IFERROR(INDEX('2b. Dataset in R'!$H:$H,MATCH($A462,'2b. Dataset in R'!$A:$A,0)),PROPER($B462))</f>
        <v>Integer</v>
      </c>
    </row>
    <row r="463" spans="1:7" x14ac:dyDescent="0.3">
      <c r="A463" t="s">
        <v>1319</v>
      </c>
      <c r="B463" t="s">
        <v>277</v>
      </c>
      <c r="C463" t="s">
        <v>1319</v>
      </c>
      <c r="D463">
        <v>0</v>
      </c>
      <c r="E463">
        <v>0</v>
      </c>
      <c r="G463" s="4" t="str">
        <f>IFERROR(INDEX('2b. Dataset in R'!$H:$H,MATCH($A463,'2b. Dataset in R'!$A:$A,0)),PROPER($B463))</f>
        <v>Integer</v>
      </c>
    </row>
    <row r="464" spans="1:7" x14ac:dyDescent="0.3">
      <c r="A464" t="s">
        <v>1320</v>
      </c>
      <c r="B464" t="s">
        <v>277</v>
      </c>
      <c r="C464" t="s">
        <v>1320</v>
      </c>
      <c r="D464">
        <v>0</v>
      </c>
      <c r="E464">
        <v>0</v>
      </c>
      <c r="F464" s="4" t="s">
        <v>87</v>
      </c>
      <c r="G464" s="4" t="str">
        <f>IFERROR(INDEX('2b. Dataset in R'!$H:$H,MATCH($A464,'2b. Dataset in R'!$A:$A,0)),PROPER($B464))</f>
        <v>Integer</v>
      </c>
    </row>
    <row r="465" spans="1:7" x14ac:dyDescent="0.3">
      <c r="A465" t="s">
        <v>1321</v>
      </c>
      <c r="B465" t="s">
        <v>277</v>
      </c>
      <c r="C465" t="s">
        <v>1321</v>
      </c>
      <c r="D465">
        <v>0</v>
      </c>
      <c r="E465">
        <v>0</v>
      </c>
      <c r="F465" s="4" t="s">
        <v>87</v>
      </c>
      <c r="G465" s="4" t="str">
        <f>IFERROR(INDEX('2b. Dataset in R'!$H:$H,MATCH($A465,'2b. Dataset in R'!$A:$A,0)),PROPER($B465))</f>
        <v>Integer</v>
      </c>
    </row>
    <row r="466" spans="1:7" x14ac:dyDescent="0.3">
      <c r="A466" t="s">
        <v>1322</v>
      </c>
      <c r="B466" t="s">
        <v>277</v>
      </c>
      <c r="C466" t="s">
        <v>1322</v>
      </c>
      <c r="D466">
        <v>0</v>
      </c>
      <c r="E466">
        <v>0</v>
      </c>
      <c r="F466" s="4" t="s">
        <v>87</v>
      </c>
      <c r="G466" s="4" t="str">
        <f>IFERROR(INDEX('2b. Dataset in R'!$H:$H,MATCH($A466,'2b. Dataset in R'!$A:$A,0)),PROPER($B466))</f>
        <v>Integer</v>
      </c>
    </row>
    <row r="467" spans="1:7" x14ac:dyDescent="0.3">
      <c r="A467" t="s">
        <v>564</v>
      </c>
      <c r="B467" t="s">
        <v>263</v>
      </c>
      <c r="C467" t="s">
        <v>564</v>
      </c>
      <c r="D467">
        <v>0</v>
      </c>
      <c r="E467">
        <v>0</v>
      </c>
      <c r="F467" s="4" t="s">
        <v>87</v>
      </c>
      <c r="G467" s="4" t="str">
        <f>IFERROR(INDEX('2b. Dataset in R'!$H:$H,MATCH($A467,'2b. Dataset in R'!$A:$A,0)),PROPER($B467))</f>
        <v>Numeric</v>
      </c>
    </row>
    <row r="468" spans="1:7" x14ac:dyDescent="0.3">
      <c r="A468" t="s">
        <v>567</v>
      </c>
      <c r="B468" t="s">
        <v>276</v>
      </c>
      <c r="C468" t="s">
        <v>567</v>
      </c>
      <c r="D468">
        <v>0</v>
      </c>
      <c r="E468">
        <v>0</v>
      </c>
      <c r="G468" s="4" t="str">
        <f>IFERROR(INDEX('2b. Dataset in R'!$H:$H,MATCH($A468,'2b. Dataset in R'!$A:$A,0)),PROPER($B468))</f>
        <v>Character</v>
      </c>
    </row>
    <row r="469" spans="1:7" x14ac:dyDescent="0.3">
      <c r="A469" t="s">
        <v>1323</v>
      </c>
      <c r="B469" t="s">
        <v>277</v>
      </c>
      <c r="C469" t="s">
        <v>1323</v>
      </c>
      <c r="D469">
        <v>0</v>
      </c>
      <c r="E469">
        <v>0</v>
      </c>
      <c r="G469" s="4" t="str">
        <f>IFERROR(INDEX('2b. Dataset in R'!$H:$H,MATCH($A469,'2b. Dataset in R'!$A:$A,0)),PROPER($B469))</f>
        <v>Integer</v>
      </c>
    </row>
    <row r="470" spans="1:7" x14ac:dyDescent="0.3">
      <c r="A470" t="s">
        <v>1324</v>
      </c>
      <c r="B470" t="s">
        <v>277</v>
      </c>
      <c r="C470" t="s">
        <v>1324</v>
      </c>
      <c r="D470">
        <v>0</v>
      </c>
      <c r="E470">
        <v>0</v>
      </c>
      <c r="F470" s="4" t="s">
        <v>87</v>
      </c>
      <c r="G470" s="4" t="str">
        <f>IFERROR(INDEX('2b. Dataset in R'!$H:$H,MATCH($A470,'2b. Dataset in R'!$A:$A,0)),PROPER($B470))</f>
        <v>Integer</v>
      </c>
    </row>
    <row r="471" spans="1:7" x14ac:dyDescent="0.3">
      <c r="A471" t="s">
        <v>568</v>
      </c>
      <c r="B471" t="s">
        <v>263</v>
      </c>
      <c r="C471" t="s">
        <v>568</v>
      </c>
      <c r="D471">
        <v>0</v>
      </c>
      <c r="E471">
        <v>0</v>
      </c>
      <c r="F471" s="4" t="s">
        <v>87</v>
      </c>
      <c r="G471" s="4" t="str">
        <f>IFERROR(INDEX('2b. Dataset in R'!$H:$H,MATCH($A471,'2b. Dataset in R'!$A:$A,0)),PROPER($B471))</f>
        <v>Numeric</v>
      </c>
    </row>
    <row r="472" spans="1:7" x14ac:dyDescent="0.3">
      <c r="A472" t="s">
        <v>571</v>
      </c>
      <c r="B472" t="s">
        <v>276</v>
      </c>
      <c r="C472" t="s">
        <v>571</v>
      </c>
      <c r="D472">
        <v>0</v>
      </c>
      <c r="E472">
        <v>0</v>
      </c>
      <c r="G472" s="4" t="str">
        <f>IFERROR(INDEX('2b. Dataset in R'!$H:$H,MATCH($A472,'2b. Dataset in R'!$A:$A,0)),PROPER($B472))</f>
        <v>Character</v>
      </c>
    </row>
    <row r="473" spans="1:7" x14ac:dyDescent="0.3">
      <c r="A473" t="s">
        <v>1325</v>
      </c>
      <c r="B473" t="s">
        <v>277</v>
      </c>
      <c r="C473" t="s">
        <v>1325</v>
      </c>
      <c r="D473">
        <v>0</v>
      </c>
      <c r="E473">
        <v>0</v>
      </c>
      <c r="G473" s="4" t="str">
        <f>IFERROR(INDEX('2b. Dataset in R'!$H:$H,MATCH($A473,'2b. Dataset in R'!$A:$A,0)),PROPER($B473))</f>
        <v>Integer</v>
      </c>
    </row>
    <row r="474" spans="1:7" x14ac:dyDescent="0.3">
      <c r="A474" t="s">
        <v>572</v>
      </c>
      <c r="B474" t="s">
        <v>263</v>
      </c>
      <c r="C474" t="s">
        <v>572</v>
      </c>
      <c r="D474">
        <v>0</v>
      </c>
      <c r="E474">
        <v>0</v>
      </c>
      <c r="F474" s="4" t="s">
        <v>87</v>
      </c>
      <c r="G474" s="4" t="str">
        <f>IFERROR(INDEX('2b. Dataset in R'!$H:$H,MATCH($A474,'2b. Dataset in R'!$A:$A,0)),PROPER($B474))</f>
        <v>Numeric</v>
      </c>
    </row>
    <row r="475" spans="1:7" x14ac:dyDescent="0.3">
      <c r="A475" t="s">
        <v>575</v>
      </c>
      <c r="B475" t="s">
        <v>276</v>
      </c>
      <c r="C475" t="s">
        <v>575</v>
      </c>
      <c r="D475">
        <v>0</v>
      </c>
      <c r="E475">
        <v>0</v>
      </c>
      <c r="G475" s="4" t="str">
        <f>IFERROR(INDEX('2b. Dataset in R'!$H:$H,MATCH($A475,'2b. Dataset in R'!$A:$A,0)),PROPER($B475))</f>
        <v>Character</v>
      </c>
    </row>
    <row r="476" spans="1:7" x14ac:dyDescent="0.3">
      <c r="A476" t="s">
        <v>1326</v>
      </c>
      <c r="B476" t="s">
        <v>277</v>
      </c>
      <c r="C476" t="s">
        <v>1326</v>
      </c>
      <c r="D476">
        <v>0</v>
      </c>
      <c r="E476">
        <v>0</v>
      </c>
      <c r="F476" s="4" t="s">
        <v>87</v>
      </c>
      <c r="G476" s="4" t="str">
        <f>IFERROR(INDEX('2b. Dataset in R'!$H:$H,MATCH($A476,'2b. Dataset in R'!$A:$A,0)),PROPER($B476))</f>
        <v>Integer</v>
      </c>
    </row>
    <row r="477" spans="1:7" x14ac:dyDescent="0.3">
      <c r="A477" t="s">
        <v>1327</v>
      </c>
      <c r="B477" t="s">
        <v>277</v>
      </c>
      <c r="C477" t="s">
        <v>1327</v>
      </c>
      <c r="D477">
        <v>0</v>
      </c>
      <c r="E477">
        <v>0</v>
      </c>
      <c r="F477" s="4" t="s">
        <v>87</v>
      </c>
      <c r="G477" s="4" t="str">
        <f>IFERROR(INDEX('2b. Dataset in R'!$H:$H,MATCH($A477,'2b. Dataset in R'!$A:$A,0)),PROPER($B477))</f>
        <v>Integer</v>
      </c>
    </row>
    <row r="478" spans="1:7" x14ac:dyDescent="0.3">
      <c r="A478" t="s">
        <v>1328</v>
      </c>
      <c r="B478" t="s">
        <v>277</v>
      </c>
      <c r="C478" t="s">
        <v>1328</v>
      </c>
      <c r="D478">
        <v>0</v>
      </c>
      <c r="E478">
        <v>0</v>
      </c>
      <c r="F478" s="4" t="s">
        <v>87</v>
      </c>
      <c r="G478" s="4" t="str">
        <f>IFERROR(INDEX('2b. Dataset in R'!$H:$H,MATCH($A478,'2b. Dataset in R'!$A:$A,0)),PROPER($B478))</f>
        <v>Integer</v>
      </c>
    </row>
    <row r="479" spans="1:7" x14ac:dyDescent="0.3">
      <c r="A479" t="s">
        <v>1329</v>
      </c>
      <c r="B479" t="s">
        <v>277</v>
      </c>
      <c r="C479" t="s">
        <v>1329</v>
      </c>
      <c r="D479">
        <v>0</v>
      </c>
      <c r="E479">
        <v>0</v>
      </c>
      <c r="F479" s="4" t="s">
        <v>87</v>
      </c>
      <c r="G479" s="4" t="str">
        <f>IFERROR(INDEX('2b. Dataset in R'!$H:$H,MATCH($A479,'2b. Dataset in R'!$A:$A,0)),PROPER($B479))</f>
        <v>Integer</v>
      </c>
    </row>
    <row r="480" spans="1:7" x14ac:dyDescent="0.3">
      <c r="A480" t="s">
        <v>1330</v>
      </c>
      <c r="B480" t="s">
        <v>277</v>
      </c>
      <c r="C480" t="s">
        <v>1330</v>
      </c>
      <c r="D480">
        <v>0</v>
      </c>
      <c r="E480">
        <v>0</v>
      </c>
      <c r="F480" s="4" t="s">
        <v>87</v>
      </c>
      <c r="G480" s="4" t="str">
        <f>IFERROR(INDEX('2b. Dataset in R'!$H:$H,MATCH($A480,'2b. Dataset in R'!$A:$A,0)),PROPER($B480))</f>
        <v>Integer</v>
      </c>
    </row>
    <row r="481" spans="1:7" x14ac:dyDescent="0.3">
      <c r="A481" t="s">
        <v>1331</v>
      </c>
      <c r="B481" t="s">
        <v>277</v>
      </c>
      <c r="C481" t="s">
        <v>1331</v>
      </c>
      <c r="D481">
        <v>0</v>
      </c>
      <c r="E481">
        <v>0</v>
      </c>
      <c r="F481" s="4" t="s">
        <v>87</v>
      </c>
      <c r="G481" s="4" t="str">
        <f>IFERROR(INDEX('2b. Dataset in R'!$H:$H,MATCH($A481,'2b. Dataset in R'!$A:$A,0)),PROPER($B481))</f>
        <v>Integer</v>
      </c>
    </row>
    <row r="482" spans="1:7" x14ac:dyDescent="0.3">
      <c r="A482" t="s">
        <v>1332</v>
      </c>
      <c r="B482" t="s">
        <v>277</v>
      </c>
      <c r="C482" t="s">
        <v>1332</v>
      </c>
      <c r="D482">
        <v>0</v>
      </c>
      <c r="E482">
        <v>0</v>
      </c>
      <c r="F482" s="4" t="s">
        <v>87</v>
      </c>
      <c r="G482" s="4" t="str">
        <f>IFERROR(INDEX('2b. Dataset in R'!$H:$H,MATCH($A482,'2b. Dataset in R'!$A:$A,0)),PROPER($B482))</f>
        <v>Integer</v>
      </c>
    </row>
    <row r="483" spans="1:7" x14ac:dyDescent="0.3">
      <c r="A483" t="s">
        <v>1333</v>
      </c>
      <c r="B483" t="s">
        <v>277</v>
      </c>
      <c r="C483" t="s">
        <v>1333</v>
      </c>
      <c r="D483">
        <v>0</v>
      </c>
      <c r="E483">
        <v>0</v>
      </c>
      <c r="F483" s="4" t="s">
        <v>87</v>
      </c>
      <c r="G483" s="4" t="str">
        <f>IFERROR(INDEX('2b. Dataset in R'!$H:$H,MATCH($A483,'2b. Dataset in R'!$A:$A,0)),PROPER($B483))</f>
        <v>Integer</v>
      </c>
    </row>
    <row r="484" spans="1:7" x14ac:dyDescent="0.3">
      <c r="A484" t="s">
        <v>1334</v>
      </c>
      <c r="B484" t="s">
        <v>277</v>
      </c>
      <c r="C484" t="s">
        <v>1334</v>
      </c>
      <c r="D484">
        <v>0</v>
      </c>
      <c r="E484">
        <v>0</v>
      </c>
      <c r="F484" s="4" t="s">
        <v>87</v>
      </c>
      <c r="G484" s="4" t="str">
        <f>IFERROR(INDEX('2b. Dataset in R'!$H:$H,MATCH($A484,'2b. Dataset in R'!$A:$A,0)),PROPER($B484))</f>
        <v>Integer</v>
      </c>
    </row>
    <row r="485" spans="1:7" x14ac:dyDescent="0.3">
      <c r="A485" t="s">
        <v>1335</v>
      </c>
      <c r="B485" t="s">
        <v>277</v>
      </c>
      <c r="C485" t="s">
        <v>1335</v>
      </c>
      <c r="D485">
        <v>0</v>
      </c>
      <c r="E485">
        <v>0</v>
      </c>
      <c r="F485" s="4" t="s">
        <v>87</v>
      </c>
      <c r="G485" s="4" t="str">
        <f>IFERROR(INDEX('2b. Dataset in R'!$H:$H,MATCH($A485,'2b. Dataset in R'!$A:$A,0)),PROPER($B485))</f>
        <v>Integer</v>
      </c>
    </row>
    <row r="486" spans="1:7" x14ac:dyDescent="0.3">
      <c r="A486" t="s">
        <v>1336</v>
      </c>
      <c r="B486" t="s">
        <v>277</v>
      </c>
      <c r="C486" t="s">
        <v>1336</v>
      </c>
      <c r="D486">
        <v>0</v>
      </c>
      <c r="E486">
        <v>0</v>
      </c>
      <c r="F486" s="4" t="s">
        <v>87</v>
      </c>
      <c r="G486" s="4" t="str">
        <f>IFERROR(INDEX('2b. Dataset in R'!$H:$H,MATCH($A486,'2b. Dataset in R'!$A:$A,0)),PROPER($B486))</f>
        <v>Integer</v>
      </c>
    </row>
    <row r="487" spans="1:7" x14ac:dyDescent="0.3">
      <c r="A487" t="s">
        <v>1337</v>
      </c>
      <c r="B487" t="s">
        <v>277</v>
      </c>
      <c r="C487" t="s">
        <v>1337</v>
      </c>
      <c r="D487">
        <v>0</v>
      </c>
      <c r="E487">
        <v>0</v>
      </c>
      <c r="F487" s="4" t="s">
        <v>87</v>
      </c>
      <c r="G487" s="4" t="str">
        <f>IFERROR(INDEX('2b. Dataset in R'!$H:$H,MATCH($A487,'2b. Dataset in R'!$A:$A,0)),PROPER($B487))</f>
        <v>Integer</v>
      </c>
    </row>
    <row r="488" spans="1:7" x14ac:dyDescent="0.3">
      <c r="A488" t="s">
        <v>1338</v>
      </c>
      <c r="B488" t="s">
        <v>277</v>
      </c>
      <c r="C488" t="s">
        <v>1338</v>
      </c>
      <c r="D488">
        <v>0</v>
      </c>
      <c r="E488">
        <v>0</v>
      </c>
      <c r="G488" s="4" t="str">
        <f>IFERROR(INDEX('2b. Dataset in R'!$H:$H,MATCH($A488,'2b. Dataset in R'!$A:$A,0)),PROPER($B488))</f>
        <v>Integer</v>
      </c>
    </row>
    <row r="489" spans="1:7" x14ac:dyDescent="0.3">
      <c r="A489" t="s">
        <v>1339</v>
      </c>
      <c r="B489" t="s">
        <v>277</v>
      </c>
      <c r="C489" t="s">
        <v>1339</v>
      </c>
      <c r="D489">
        <v>0</v>
      </c>
      <c r="E489">
        <v>0</v>
      </c>
      <c r="F489" s="4" t="s">
        <v>87</v>
      </c>
      <c r="G489" s="4" t="str">
        <f>IFERROR(INDEX('2b. Dataset in R'!$H:$H,MATCH($A489,'2b. Dataset in R'!$A:$A,0)),PROPER($B489))</f>
        <v>Integer</v>
      </c>
    </row>
    <row r="490" spans="1:7" x14ac:dyDescent="0.3">
      <c r="A490" t="s">
        <v>1340</v>
      </c>
      <c r="B490" t="s">
        <v>277</v>
      </c>
      <c r="C490" t="s">
        <v>1340</v>
      </c>
      <c r="D490">
        <v>0</v>
      </c>
      <c r="E490">
        <v>0</v>
      </c>
      <c r="F490" s="4" t="s">
        <v>87</v>
      </c>
      <c r="G490" s="4" t="str">
        <f>IFERROR(INDEX('2b. Dataset in R'!$H:$H,MATCH($A490,'2b. Dataset in R'!$A:$A,0)),PROPER($B490))</f>
        <v>Integer</v>
      </c>
    </row>
    <row r="491" spans="1:7" x14ac:dyDescent="0.3">
      <c r="A491" t="s">
        <v>1341</v>
      </c>
      <c r="B491" t="s">
        <v>277</v>
      </c>
      <c r="C491" t="s">
        <v>1341</v>
      </c>
      <c r="D491">
        <v>0</v>
      </c>
      <c r="E491">
        <v>0</v>
      </c>
      <c r="F491" s="4" t="s">
        <v>87</v>
      </c>
      <c r="G491" s="4" t="str">
        <f>IFERROR(INDEX('2b. Dataset in R'!$H:$H,MATCH($A491,'2b. Dataset in R'!$A:$A,0)),PROPER($B491))</f>
        <v>Integer</v>
      </c>
    </row>
    <row r="492" spans="1:7" x14ac:dyDescent="0.3">
      <c r="A492" t="s">
        <v>1342</v>
      </c>
      <c r="B492" t="s">
        <v>277</v>
      </c>
      <c r="C492" t="s">
        <v>1342</v>
      </c>
      <c r="D492">
        <v>0</v>
      </c>
      <c r="E492">
        <v>0</v>
      </c>
      <c r="F492" s="4" t="s">
        <v>87</v>
      </c>
      <c r="G492" s="4" t="str">
        <f>IFERROR(INDEX('2b. Dataset in R'!$H:$H,MATCH($A492,'2b. Dataset in R'!$A:$A,0)),PROPER($B492))</f>
        <v>Integer</v>
      </c>
    </row>
    <row r="493" spans="1:7" x14ac:dyDescent="0.3">
      <c r="A493" t="s">
        <v>1343</v>
      </c>
      <c r="B493" t="s">
        <v>277</v>
      </c>
      <c r="C493" t="s">
        <v>1343</v>
      </c>
      <c r="D493">
        <v>0</v>
      </c>
      <c r="E493">
        <v>0</v>
      </c>
      <c r="F493" s="4" t="s">
        <v>87</v>
      </c>
      <c r="G493" s="4" t="str">
        <f>IFERROR(INDEX('2b. Dataset in R'!$H:$H,MATCH($A493,'2b. Dataset in R'!$A:$A,0)),PROPER($B493))</f>
        <v>Integer</v>
      </c>
    </row>
    <row r="494" spans="1:7" x14ac:dyDescent="0.3">
      <c r="A494" t="s">
        <v>1344</v>
      </c>
      <c r="B494" t="s">
        <v>277</v>
      </c>
      <c r="C494" t="s">
        <v>1344</v>
      </c>
      <c r="D494">
        <v>0</v>
      </c>
      <c r="E494">
        <v>0</v>
      </c>
      <c r="F494" s="4" t="s">
        <v>87</v>
      </c>
      <c r="G494" s="4" t="str">
        <f>IFERROR(INDEX('2b. Dataset in R'!$H:$H,MATCH($A494,'2b. Dataset in R'!$A:$A,0)),PROPER($B494))</f>
        <v>Integer</v>
      </c>
    </row>
    <row r="495" spans="1:7" x14ac:dyDescent="0.3">
      <c r="A495" t="s">
        <v>1345</v>
      </c>
      <c r="B495" t="s">
        <v>277</v>
      </c>
      <c r="C495" t="s">
        <v>1345</v>
      </c>
      <c r="D495">
        <v>0</v>
      </c>
      <c r="E495">
        <v>0</v>
      </c>
      <c r="F495" s="4" t="s">
        <v>87</v>
      </c>
      <c r="G495" s="4" t="str">
        <f>IFERROR(INDEX('2b. Dataset in R'!$H:$H,MATCH($A495,'2b. Dataset in R'!$A:$A,0)),PROPER($B495))</f>
        <v>Integer</v>
      </c>
    </row>
    <row r="496" spans="1:7" x14ac:dyDescent="0.3">
      <c r="A496" t="s">
        <v>1346</v>
      </c>
      <c r="B496" t="s">
        <v>277</v>
      </c>
      <c r="C496" t="s">
        <v>1346</v>
      </c>
      <c r="D496">
        <v>0</v>
      </c>
      <c r="E496">
        <v>0</v>
      </c>
      <c r="F496" s="4" t="s">
        <v>87</v>
      </c>
      <c r="G496" s="4" t="str">
        <f>IFERROR(INDEX('2b. Dataset in R'!$H:$H,MATCH($A496,'2b. Dataset in R'!$A:$A,0)),PROPER($B496))</f>
        <v>Integer</v>
      </c>
    </row>
    <row r="497" spans="1:7" x14ac:dyDescent="0.3">
      <c r="A497" t="s">
        <v>1347</v>
      </c>
      <c r="B497" t="s">
        <v>277</v>
      </c>
      <c r="C497" t="s">
        <v>1347</v>
      </c>
      <c r="D497">
        <v>0</v>
      </c>
      <c r="E497">
        <v>0</v>
      </c>
      <c r="F497" s="4" t="s">
        <v>87</v>
      </c>
      <c r="G497" s="4" t="str">
        <f>IFERROR(INDEX('2b. Dataset in R'!$H:$H,MATCH($A497,'2b. Dataset in R'!$A:$A,0)),PROPER($B497))</f>
        <v>Integer</v>
      </c>
    </row>
    <row r="498" spans="1:7" x14ac:dyDescent="0.3">
      <c r="A498" t="s">
        <v>1348</v>
      </c>
      <c r="B498" t="s">
        <v>277</v>
      </c>
      <c r="C498" t="s">
        <v>1348</v>
      </c>
      <c r="D498">
        <v>0</v>
      </c>
      <c r="E498">
        <v>0</v>
      </c>
      <c r="F498" s="4" t="s">
        <v>87</v>
      </c>
      <c r="G498" s="4" t="str">
        <f>IFERROR(INDEX('2b. Dataset in R'!$H:$H,MATCH($A498,'2b. Dataset in R'!$A:$A,0)),PROPER($B498))</f>
        <v>Integer</v>
      </c>
    </row>
    <row r="499" spans="1:7" x14ac:dyDescent="0.3">
      <c r="A499" t="s">
        <v>576</v>
      </c>
      <c r="B499" t="s">
        <v>263</v>
      </c>
      <c r="C499" t="s">
        <v>576</v>
      </c>
      <c r="D499">
        <v>0</v>
      </c>
      <c r="E499">
        <v>0</v>
      </c>
      <c r="F499" s="4" t="s">
        <v>87</v>
      </c>
      <c r="G499" s="4" t="str">
        <f>IFERROR(INDEX('2b. Dataset in R'!$H:$H,MATCH($A499,'2b. Dataset in R'!$A:$A,0)),PROPER($B499))</f>
        <v>Numeric</v>
      </c>
    </row>
    <row r="500" spans="1:7" x14ac:dyDescent="0.3">
      <c r="A500" t="s">
        <v>579</v>
      </c>
      <c r="B500" t="s">
        <v>276</v>
      </c>
      <c r="C500" t="s">
        <v>579</v>
      </c>
      <c r="D500">
        <v>0</v>
      </c>
      <c r="E500">
        <v>0</v>
      </c>
      <c r="G500" s="4" t="str">
        <f>IFERROR(INDEX('2b. Dataset in R'!$H:$H,MATCH($A500,'2b. Dataset in R'!$A:$A,0)),PROPER($B500))</f>
        <v>Character</v>
      </c>
    </row>
    <row r="501" spans="1:7" x14ac:dyDescent="0.3">
      <c r="A501" t="s">
        <v>1349</v>
      </c>
      <c r="B501" t="s">
        <v>277</v>
      </c>
      <c r="C501" t="s">
        <v>1349</v>
      </c>
      <c r="D501">
        <v>0</v>
      </c>
      <c r="E501">
        <v>0</v>
      </c>
      <c r="F501" s="4" t="s">
        <v>87</v>
      </c>
      <c r="G501" s="4" t="str">
        <f>IFERROR(INDEX('2b. Dataset in R'!$H:$H,MATCH($A501,'2b. Dataset in R'!$A:$A,0)),PROPER($B501))</f>
        <v>Integer</v>
      </c>
    </row>
    <row r="502" spans="1:7" x14ac:dyDescent="0.3">
      <c r="A502" t="s">
        <v>1350</v>
      </c>
      <c r="B502" t="s">
        <v>277</v>
      </c>
      <c r="C502" t="s">
        <v>1350</v>
      </c>
      <c r="D502">
        <v>0</v>
      </c>
      <c r="E502">
        <v>0</v>
      </c>
      <c r="G502" s="4" t="str">
        <f>IFERROR(INDEX('2b. Dataset in R'!$H:$H,MATCH($A502,'2b. Dataset in R'!$A:$A,0)),PROPER($B502))</f>
        <v>Integer</v>
      </c>
    </row>
    <row r="503" spans="1:7" x14ac:dyDescent="0.3">
      <c r="A503" t="s">
        <v>1351</v>
      </c>
      <c r="B503" t="s">
        <v>277</v>
      </c>
      <c r="C503" t="s">
        <v>1351</v>
      </c>
      <c r="D503">
        <v>0</v>
      </c>
      <c r="E503">
        <v>0</v>
      </c>
      <c r="F503" s="4" t="s">
        <v>87</v>
      </c>
      <c r="G503" s="4" t="str">
        <f>IFERROR(INDEX('2b. Dataset in R'!$H:$H,MATCH($A503,'2b. Dataset in R'!$A:$A,0)),PROPER($B503))</f>
        <v>Integer</v>
      </c>
    </row>
    <row r="504" spans="1:7" x14ac:dyDescent="0.3">
      <c r="A504" t="s">
        <v>1352</v>
      </c>
      <c r="B504" t="s">
        <v>277</v>
      </c>
      <c r="C504" t="s">
        <v>1352</v>
      </c>
      <c r="D504">
        <v>0</v>
      </c>
      <c r="E504">
        <v>0</v>
      </c>
      <c r="F504" s="4" t="s">
        <v>87</v>
      </c>
      <c r="G504" s="4" t="str">
        <f>IFERROR(INDEX('2b. Dataset in R'!$H:$H,MATCH($A504,'2b. Dataset in R'!$A:$A,0)),PROPER($B504))</f>
        <v>Integer</v>
      </c>
    </row>
    <row r="505" spans="1:7" x14ac:dyDescent="0.3">
      <c r="A505" t="s">
        <v>1353</v>
      </c>
      <c r="B505" t="s">
        <v>277</v>
      </c>
      <c r="C505" t="s">
        <v>1353</v>
      </c>
      <c r="D505">
        <v>0</v>
      </c>
      <c r="E505">
        <v>0</v>
      </c>
      <c r="F505" s="4" t="s">
        <v>87</v>
      </c>
      <c r="G505" s="4" t="str">
        <f>IFERROR(INDEX('2b. Dataset in R'!$H:$H,MATCH($A505,'2b. Dataset in R'!$A:$A,0)),PROPER($B505))</f>
        <v>Integer</v>
      </c>
    </row>
    <row r="506" spans="1:7" x14ac:dyDescent="0.3">
      <c r="A506" t="s">
        <v>1354</v>
      </c>
      <c r="B506" t="s">
        <v>277</v>
      </c>
      <c r="C506" t="s">
        <v>1354</v>
      </c>
      <c r="D506">
        <v>0</v>
      </c>
      <c r="E506">
        <v>0</v>
      </c>
      <c r="F506" s="4" t="s">
        <v>87</v>
      </c>
      <c r="G506" s="4" t="str">
        <f>IFERROR(INDEX('2b. Dataset in R'!$H:$H,MATCH($A506,'2b. Dataset in R'!$A:$A,0)),PROPER($B506))</f>
        <v>Integer</v>
      </c>
    </row>
    <row r="507" spans="1:7" x14ac:dyDescent="0.3">
      <c r="A507" t="s">
        <v>1355</v>
      </c>
      <c r="B507" t="s">
        <v>277</v>
      </c>
      <c r="C507" t="s">
        <v>1355</v>
      </c>
      <c r="D507">
        <v>0</v>
      </c>
      <c r="E507">
        <v>0</v>
      </c>
      <c r="F507" s="4" t="s">
        <v>87</v>
      </c>
      <c r="G507" s="4" t="str">
        <f>IFERROR(INDEX('2b. Dataset in R'!$H:$H,MATCH($A507,'2b. Dataset in R'!$A:$A,0)),PROPER($B507))</f>
        <v>Integer</v>
      </c>
    </row>
    <row r="508" spans="1:7" x14ac:dyDescent="0.3">
      <c r="A508" t="s">
        <v>580</v>
      </c>
      <c r="B508" t="s">
        <v>263</v>
      </c>
      <c r="C508" t="s">
        <v>580</v>
      </c>
      <c r="D508">
        <v>0</v>
      </c>
      <c r="E508">
        <v>0</v>
      </c>
      <c r="F508" s="4" t="s">
        <v>87</v>
      </c>
      <c r="G508" s="4" t="str">
        <f>IFERROR(INDEX('2b. Dataset in R'!$H:$H,MATCH($A508,'2b. Dataset in R'!$A:$A,0)),PROPER($B508))</f>
        <v>Numeric</v>
      </c>
    </row>
    <row r="509" spans="1:7" x14ac:dyDescent="0.3">
      <c r="A509" t="s">
        <v>583</v>
      </c>
      <c r="B509" t="s">
        <v>276</v>
      </c>
      <c r="C509" t="s">
        <v>583</v>
      </c>
      <c r="D509">
        <v>0</v>
      </c>
      <c r="E509">
        <v>0</v>
      </c>
      <c r="G509" s="4" t="str">
        <f>IFERROR(INDEX('2b. Dataset in R'!$H:$H,MATCH($A509,'2b. Dataset in R'!$A:$A,0)),PROPER($B509))</f>
        <v>Character</v>
      </c>
    </row>
    <row r="510" spans="1:7" x14ac:dyDescent="0.3">
      <c r="A510" t="s">
        <v>1356</v>
      </c>
      <c r="B510" t="s">
        <v>277</v>
      </c>
      <c r="C510" t="s">
        <v>1356</v>
      </c>
      <c r="D510">
        <v>0</v>
      </c>
      <c r="E510">
        <v>0</v>
      </c>
      <c r="G510" s="4" t="str">
        <f>IFERROR(INDEX('2b. Dataset in R'!$H:$H,MATCH($A510,'2b. Dataset in R'!$A:$A,0)),PROPER($B510))</f>
        <v>Integer</v>
      </c>
    </row>
    <row r="511" spans="1:7" x14ac:dyDescent="0.3">
      <c r="A511" t="s">
        <v>1357</v>
      </c>
      <c r="B511" t="s">
        <v>277</v>
      </c>
      <c r="C511" t="s">
        <v>1357</v>
      </c>
      <c r="D511">
        <v>0</v>
      </c>
      <c r="E511">
        <v>0</v>
      </c>
      <c r="F511" s="4" t="s">
        <v>87</v>
      </c>
      <c r="G511" s="4" t="str">
        <f>IFERROR(INDEX('2b. Dataset in R'!$H:$H,MATCH($A511,'2b. Dataset in R'!$A:$A,0)),PROPER($B511))</f>
        <v>Integer</v>
      </c>
    </row>
    <row r="512" spans="1:7" x14ac:dyDescent="0.3">
      <c r="A512" t="s">
        <v>584</v>
      </c>
      <c r="B512" t="s">
        <v>263</v>
      </c>
      <c r="C512" t="s">
        <v>584</v>
      </c>
      <c r="D512">
        <v>0</v>
      </c>
      <c r="E512">
        <v>0</v>
      </c>
      <c r="F512" s="4" t="s">
        <v>87</v>
      </c>
      <c r="G512" s="4" t="str">
        <f>IFERROR(INDEX('2b. Dataset in R'!$H:$H,MATCH($A512,'2b. Dataset in R'!$A:$A,0)),PROPER($B512))</f>
        <v>Numeric</v>
      </c>
    </row>
    <row r="513" spans="1:7" x14ac:dyDescent="0.3">
      <c r="A513" t="s">
        <v>587</v>
      </c>
      <c r="B513" t="s">
        <v>276</v>
      </c>
      <c r="C513" t="s">
        <v>587</v>
      </c>
      <c r="D513">
        <v>0</v>
      </c>
      <c r="E513">
        <v>0</v>
      </c>
      <c r="G513" s="4" t="str">
        <f>IFERROR(INDEX('2b. Dataset in R'!$H:$H,MATCH($A513,'2b. Dataset in R'!$A:$A,0)),PROPER($B513))</f>
        <v>Character</v>
      </c>
    </row>
    <row r="514" spans="1:7" x14ac:dyDescent="0.3">
      <c r="A514" t="s">
        <v>1358</v>
      </c>
      <c r="B514" t="s">
        <v>277</v>
      </c>
      <c r="C514" t="s">
        <v>1358</v>
      </c>
      <c r="D514">
        <v>0</v>
      </c>
      <c r="E514">
        <v>0</v>
      </c>
      <c r="G514" s="4" t="str">
        <f>IFERROR(INDEX('2b. Dataset in R'!$H:$H,MATCH($A514,'2b. Dataset in R'!$A:$A,0)),PROPER($B514))</f>
        <v>Integer</v>
      </c>
    </row>
    <row r="515" spans="1:7" x14ac:dyDescent="0.3">
      <c r="A515" t="s">
        <v>588</v>
      </c>
      <c r="B515" t="s">
        <v>263</v>
      </c>
      <c r="C515" t="s">
        <v>588</v>
      </c>
      <c r="D515">
        <v>0</v>
      </c>
      <c r="E515">
        <v>0</v>
      </c>
      <c r="F515" s="4" t="s">
        <v>87</v>
      </c>
      <c r="G515" s="4" t="str">
        <f>IFERROR(INDEX('2b. Dataset in R'!$H:$H,MATCH($A515,'2b. Dataset in R'!$A:$A,0)),PROPER($B515))</f>
        <v>Numeric</v>
      </c>
    </row>
    <row r="516" spans="1:7" x14ac:dyDescent="0.3">
      <c r="A516" t="s">
        <v>591</v>
      </c>
      <c r="B516" t="s">
        <v>276</v>
      </c>
      <c r="C516" t="s">
        <v>591</v>
      </c>
      <c r="D516">
        <v>0</v>
      </c>
      <c r="E516">
        <v>0</v>
      </c>
      <c r="G516" s="4" t="str">
        <f>IFERROR(INDEX('2b. Dataset in R'!$H:$H,MATCH($A516,'2b. Dataset in R'!$A:$A,0)),PROPER($B516))</f>
        <v>Character</v>
      </c>
    </row>
    <row r="517" spans="1:7" x14ac:dyDescent="0.3">
      <c r="A517" t="s">
        <v>1359</v>
      </c>
      <c r="B517" t="s">
        <v>277</v>
      </c>
      <c r="C517" t="s">
        <v>1359</v>
      </c>
      <c r="D517">
        <v>0</v>
      </c>
      <c r="E517">
        <v>0</v>
      </c>
      <c r="G517" s="4" t="str">
        <f>IFERROR(INDEX('2b. Dataset in R'!$H:$H,MATCH($A517,'2b. Dataset in R'!$A:$A,0)),PROPER($B517))</f>
        <v>Integer</v>
      </c>
    </row>
    <row r="518" spans="1:7" x14ac:dyDescent="0.3">
      <c r="A518" t="s">
        <v>592</v>
      </c>
      <c r="B518" t="s">
        <v>263</v>
      </c>
      <c r="C518" t="s">
        <v>592</v>
      </c>
      <c r="D518">
        <v>0</v>
      </c>
      <c r="E518">
        <v>0</v>
      </c>
      <c r="F518" s="4" t="s">
        <v>87</v>
      </c>
      <c r="G518" s="4" t="str">
        <f>IFERROR(INDEX('2b. Dataset in R'!$H:$H,MATCH($A518,'2b. Dataset in R'!$A:$A,0)),PROPER($B518))</f>
        <v>Numeric</v>
      </c>
    </row>
    <row r="519" spans="1:7" x14ac:dyDescent="0.3">
      <c r="A519" t="s">
        <v>612</v>
      </c>
      <c r="B519" t="s">
        <v>263</v>
      </c>
      <c r="C519" t="s">
        <v>612</v>
      </c>
      <c r="D519">
        <v>0</v>
      </c>
      <c r="E519">
        <v>0</v>
      </c>
      <c r="F519" s="4" t="s">
        <v>87</v>
      </c>
      <c r="G519" s="4" t="str">
        <f>IFERROR(INDEX('2b. Dataset in R'!$H:$H,MATCH($A519,'2b. Dataset in R'!$A:$A,0)),PROPER($B519))</f>
        <v>Numeric</v>
      </c>
    </row>
    <row r="520" spans="1:7" x14ac:dyDescent="0.3">
      <c r="A520" t="s">
        <v>613</v>
      </c>
      <c r="B520" t="s">
        <v>263</v>
      </c>
      <c r="C520" t="s">
        <v>613</v>
      </c>
      <c r="D520">
        <v>0</v>
      </c>
      <c r="E520">
        <v>0</v>
      </c>
      <c r="F520" s="4" t="s">
        <v>87</v>
      </c>
      <c r="G520" s="4" t="str">
        <f>IFERROR(INDEX('2b. Dataset in R'!$H:$H,MATCH($A520,'2b. Dataset in R'!$A:$A,0)),PROPER($B520))</f>
        <v>Numeric</v>
      </c>
    </row>
    <row r="521" spans="1:7" x14ac:dyDescent="0.3">
      <c r="A521" t="s">
        <v>615</v>
      </c>
      <c r="B521" t="s">
        <v>263</v>
      </c>
      <c r="C521" t="s">
        <v>615</v>
      </c>
      <c r="D521">
        <v>0</v>
      </c>
      <c r="E521">
        <v>0</v>
      </c>
      <c r="F521" s="4" t="s">
        <v>87</v>
      </c>
      <c r="G521" s="4" t="str">
        <f>IFERROR(INDEX('2b. Dataset in R'!$H:$H,MATCH($A521,'2b. Dataset in R'!$A:$A,0)),PROPER($B521))</f>
        <v>Numeric</v>
      </c>
    </row>
    <row r="522" spans="1:7" x14ac:dyDescent="0.3">
      <c r="A522" t="s">
        <v>616</v>
      </c>
      <c r="B522" t="s">
        <v>263</v>
      </c>
      <c r="C522" t="s">
        <v>616</v>
      </c>
      <c r="D522">
        <v>0</v>
      </c>
      <c r="E522">
        <v>0</v>
      </c>
      <c r="F522" s="4" t="s">
        <v>87</v>
      </c>
      <c r="G522" s="4" t="str">
        <f>IFERROR(INDEX('2b. Dataset in R'!$H:$H,MATCH($A522,'2b. Dataset in R'!$A:$A,0)),PROPER($B522))</f>
        <v>Numeric</v>
      </c>
    </row>
    <row r="523" spans="1:7" x14ac:dyDescent="0.3">
      <c r="A523" t="s">
        <v>623</v>
      </c>
      <c r="B523" t="s">
        <v>276</v>
      </c>
      <c r="C523" t="s">
        <v>623</v>
      </c>
      <c r="D523">
        <v>0</v>
      </c>
      <c r="E523">
        <v>0</v>
      </c>
      <c r="G523" s="4" t="str">
        <f>IFERROR(INDEX('2b. Dataset in R'!$H:$H,MATCH($A523,'2b. Dataset in R'!$A:$A,0)),PROPER($B523))</f>
        <v>Character</v>
      </c>
    </row>
    <row r="524" spans="1:7" x14ac:dyDescent="0.3">
      <c r="A524" t="s">
        <v>1360</v>
      </c>
      <c r="B524" t="s">
        <v>277</v>
      </c>
      <c r="C524" t="s">
        <v>1360</v>
      </c>
      <c r="D524">
        <v>0</v>
      </c>
      <c r="E524">
        <v>0</v>
      </c>
      <c r="F524" s="4" t="s">
        <v>87</v>
      </c>
      <c r="G524" s="4" t="str">
        <f>IFERROR(INDEX('2b. Dataset in R'!$H:$H,MATCH($A524,'2b. Dataset in R'!$A:$A,0)),PROPER($B524))</f>
        <v>Integer</v>
      </c>
    </row>
    <row r="525" spans="1:7" x14ac:dyDescent="0.3">
      <c r="A525" t="s">
        <v>1361</v>
      </c>
      <c r="B525" t="s">
        <v>277</v>
      </c>
      <c r="C525" t="s">
        <v>1361</v>
      </c>
      <c r="D525">
        <v>0</v>
      </c>
      <c r="E525">
        <v>0</v>
      </c>
      <c r="F525" s="4" t="s">
        <v>87</v>
      </c>
      <c r="G525" s="4" t="str">
        <f>IFERROR(INDEX('2b. Dataset in R'!$H:$H,MATCH($A525,'2b. Dataset in R'!$A:$A,0)),PROPER($B525))</f>
        <v>Integer</v>
      </c>
    </row>
    <row r="526" spans="1:7" x14ac:dyDescent="0.3">
      <c r="A526" t="s">
        <v>1362</v>
      </c>
      <c r="B526" t="s">
        <v>277</v>
      </c>
      <c r="C526" t="s">
        <v>1362</v>
      </c>
      <c r="D526">
        <v>0</v>
      </c>
      <c r="E526">
        <v>0</v>
      </c>
      <c r="F526" s="4" t="s">
        <v>87</v>
      </c>
      <c r="G526" s="4" t="str">
        <f>IFERROR(INDEX('2b. Dataset in R'!$H:$H,MATCH($A526,'2b. Dataset in R'!$A:$A,0)),PROPER($B526))</f>
        <v>Integer</v>
      </c>
    </row>
    <row r="527" spans="1:7" x14ac:dyDescent="0.3">
      <c r="A527" t="s">
        <v>1363</v>
      </c>
      <c r="B527" t="s">
        <v>277</v>
      </c>
      <c r="C527" t="s">
        <v>1363</v>
      </c>
      <c r="D527">
        <v>0</v>
      </c>
      <c r="E527">
        <v>0</v>
      </c>
      <c r="F527" s="4" t="s">
        <v>87</v>
      </c>
      <c r="G527" s="4" t="str">
        <f>IFERROR(INDEX('2b. Dataset in R'!$H:$H,MATCH($A527,'2b. Dataset in R'!$A:$A,0)),PROPER($B527))</f>
        <v>Integer</v>
      </c>
    </row>
    <row r="528" spans="1:7" x14ac:dyDescent="0.3">
      <c r="A528" t="s">
        <v>1364</v>
      </c>
      <c r="B528" t="s">
        <v>277</v>
      </c>
      <c r="C528" t="s">
        <v>1364</v>
      </c>
      <c r="D528">
        <v>0</v>
      </c>
      <c r="E528">
        <v>0</v>
      </c>
      <c r="F528" s="4" t="s">
        <v>87</v>
      </c>
      <c r="G528" s="4" t="str">
        <f>IFERROR(INDEX('2b. Dataset in R'!$H:$H,MATCH($A528,'2b. Dataset in R'!$A:$A,0)),PROPER($B528))</f>
        <v>Integer</v>
      </c>
    </row>
    <row r="529" spans="1:7" x14ac:dyDescent="0.3">
      <c r="A529" t="s">
        <v>1365</v>
      </c>
      <c r="B529" t="s">
        <v>277</v>
      </c>
      <c r="C529" t="s">
        <v>1365</v>
      </c>
      <c r="D529">
        <v>0</v>
      </c>
      <c r="E529">
        <v>0</v>
      </c>
      <c r="F529" s="4" t="s">
        <v>87</v>
      </c>
      <c r="G529" s="4" t="str">
        <f>IFERROR(INDEX('2b. Dataset in R'!$H:$H,MATCH($A529,'2b. Dataset in R'!$A:$A,0)),PROPER($B529))</f>
        <v>Integer</v>
      </c>
    </row>
    <row r="530" spans="1:7" x14ac:dyDescent="0.3">
      <c r="A530" t="s">
        <v>1366</v>
      </c>
      <c r="B530" t="s">
        <v>277</v>
      </c>
      <c r="C530" t="s">
        <v>1366</v>
      </c>
      <c r="D530">
        <v>0</v>
      </c>
      <c r="E530">
        <v>0</v>
      </c>
      <c r="F530" s="4" t="s">
        <v>87</v>
      </c>
      <c r="G530" s="4" t="str">
        <f>IFERROR(INDEX('2b. Dataset in R'!$H:$H,MATCH($A530,'2b. Dataset in R'!$A:$A,0)),PROPER($B530))</f>
        <v>Integer</v>
      </c>
    </row>
    <row r="531" spans="1:7" x14ac:dyDescent="0.3">
      <c r="A531" t="s">
        <v>1367</v>
      </c>
      <c r="B531" t="s">
        <v>277</v>
      </c>
      <c r="C531" t="s">
        <v>1367</v>
      </c>
      <c r="D531">
        <v>0</v>
      </c>
      <c r="E531">
        <v>0</v>
      </c>
      <c r="F531" s="4" t="s">
        <v>87</v>
      </c>
      <c r="G531" s="4" t="str">
        <f>IFERROR(INDEX('2b. Dataset in R'!$H:$H,MATCH($A531,'2b. Dataset in R'!$A:$A,0)),PROPER($B531))</f>
        <v>Integer</v>
      </c>
    </row>
    <row r="532" spans="1:7" x14ac:dyDescent="0.3">
      <c r="A532" t="s">
        <v>1368</v>
      </c>
      <c r="B532" t="s">
        <v>277</v>
      </c>
      <c r="C532" t="s">
        <v>1368</v>
      </c>
      <c r="D532">
        <v>0</v>
      </c>
      <c r="E532">
        <v>0</v>
      </c>
      <c r="F532" s="4" t="s">
        <v>87</v>
      </c>
      <c r="G532" s="4" t="str">
        <f>IFERROR(INDEX('2b. Dataset in R'!$H:$H,MATCH($A532,'2b. Dataset in R'!$A:$A,0)),PROPER($B532))</f>
        <v>Integer</v>
      </c>
    </row>
    <row r="533" spans="1:7" x14ac:dyDescent="0.3">
      <c r="A533" t="s">
        <v>1369</v>
      </c>
      <c r="B533" t="s">
        <v>277</v>
      </c>
      <c r="C533" t="s">
        <v>1369</v>
      </c>
      <c r="D533">
        <v>0</v>
      </c>
      <c r="E533">
        <v>0</v>
      </c>
      <c r="F533" s="4" t="s">
        <v>87</v>
      </c>
      <c r="G533" s="4" t="str">
        <f>IFERROR(INDEX('2b. Dataset in R'!$H:$H,MATCH($A533,'2b. Dataset in R'!$A:$A,0)),PROPER($B533))</f>
        <v>Integer</v>
      </c>
    </row>
    <row r="534" spans="1:7" x14ac:dyDescent="0.3">
      <c r="A534" t="s">
        <v>625</v>
      </c>
      <c r="B534" t="s">
        <v>276</v>
      </c>
      <c r="C534" t="s">
        <v>625</v>
      </c>
      <c r="D534">
        <v>0</v>
      </c>
      <c r="E534">
        <v>0</v>
      </c>
      <c r="G534" s="4" t="str">
        <f>IFERROR(INDEX('2b. Dataset in R'!$H:$H,MATCH($A534,'2b. Dataset in R'!$A:$A,0)),PROPER($B534))</f>
        <v>Character</v>
      </c>
    </row>
    <row r="535" spans="1:7" x14ac:dyDescent="0.3">
      <c r="A535" t="s">
        <v>1370</v>
      </c>
      <c r="B535" t="s">
        <v>277</v>
      </c>
      <c r="C535" t="s">
        <v>1370</v>
      </c>
      <c r="D535">
        <v>0</v>
      </c>
      <c r="E535">
        <v>0</v>
      </c>
      <c r="F535" s="4" t="s">
        <v>87</v>
      </c>
      <c r="G535" s="4" t="str">
        <f>IFERROR(INDEX('2b. Dataset in R'!$H:$H,MATCH($A535,'2b. Dataset in R'!$A:$A,0)),PROPER($B535))</f>
        <v>Integer</v>
      </c>
    </row>
    <row r="536" spans="1:7" x14ac:dyDescent="0.3">
      <c r="A536" t="s">
        <v>1371</v>
      </c>
      <c r="B536" t="s">
        <v>277</v>
      </c>
      <c r="C536" t="s">
        <v>1371</v>
      </c>
      <c r="D536">
        <v>0</v>
      </c>
      <c r="E536">
        <v>0</v>
      </c>
      <c r="F536" s="4" t="s">
        <v>87</v>
      </c>
      <c r="G536" s="4" t="str">
        <f>IFERROR(INDEX('2b. Dataset in R'!$H:$H,MATCH($A536,'2b. Dataset in R'!$A:$A,0)),PROPER($B536))</f>
        <v>Integer</v>
      </c>
    </row>
    <row r="537" spans="1:7" x14ac:dyDescent="0.3">
      <c r="A537" t="s">
        <v>1372</v>
      </c>
      <c r="B537" t="s">
        <v>277</v>
      </c>
      <c r="C537" t="s">
        <v>1372</v>
      </c>
      <c r="D537">
        <v>0</v>
      </c>
      <c r="E537">
        <v>0</v>
      </c>
      <c r="F537" s="4" t="s">
        <v>87</v>
      </c>
      <c r="G537" s="4" t="str">
        <f>IFERROR(INDEX('2b. Dataset in R'!$H:$H,MATCH($A537,'2b. Dataset in R'!$A:$A,0)),PROPER($B537))</f>
        <v>Integer</v>
      </c>
    </row>
    <row r="538" spans="1:7" x14ac:dyDescent="0.3">
      <c r="A538" t="s">
        <v>1373</v>
      </c>
      <c r="B538" t="s">
        <v>277</v>
      </c>
      <c r="C538" t="s">
        <v>1373</v>
      </c>
      <c r="D538">
        <v>0</v>
      </c>
      <c r="E538">
        <v>0</v>
      </c>
      <c r="F538" s="4" t="s">
        <v>87</v>
      </c>
      <c r="G538" s="4" t="str">
        <f>IFERROR(INDEX('2b. Dataset in R'!$H:$H,MATCH($A538,'2b. Dataset in R'!$A:$A,0)),PROPER($B538))</f>
        <v>Integer</v>
      </c>
    </row>
    <row r="539" spans="1:7" x14ac:dyDescent="0.3">
      <c r="A539" t="s">
        <v>1374</v>
      </c>
      <c r="B539" t="s">
        <v>277</v>
      </c>
      <c r="C539" t="s">
        <v>1374</v>
      </c>
      <c r="D539">
        <v>0</v>
      </c>
      <c r="E539">
        <v>0</v>
      </c>
      <c r="F539" s="4" t="s">
        <v>87</v>
      </c>
      <c r="G539" s="4" t="str">
        <f>IFERROR(INDEX('2b. Dataset in R'!$H:$H,MATCH($A539,'2b. Dataset in R'!$A:$A,0)),PROPER($B539))</f>
        <v>Integer</v>
      </c>
    </row>
    <row r="540" spans="1:7" x14ac:dyDescent="0.3">
      <c r="A540" t="s">
        <v>1375</v>
      </c>
      <c r="B540" t="s">
        <v>277</v>
      </c>
      <c r="C540" t="s">
        <v>1375</v>
      </c>
      <c r="D540">
        <v>0</v>
      </c>
      <c r="E540">
        <v>0</v>
      </c>
      <c r="F540" s="4" t="s">
        <v>87</v>
      </c>
      <c r="G540" s="4" t="str">
        <f>IFERROR(INDEX('2b. Dataset in R'!$H:$H,MATCH($A540,'2b. Dataset in R'!$A:$A,0)),PROPER($B540))</f>
        <v>Integer</v>
      </c>
    </row>
    <row r="541" spans="1:7" x14ac:dyDescent="0.3">
      <c r="A541" t="s">
        <v>1376</v>
      </c>
      <c r="B541" t="s">
        <v>277</v>
      </c>
      <c r="C541" t="s">
        <v>1376</v>
      </c>
      <c r="D541">
        <v>0</v>
      </c>
      <c r="E541">
        <v>0</v>
      </c>
      <c r="F541" s="4" t="s">
        <v>87</v>
      </c>
      <c r="G541" s="4" t="str">
        <f>IFERROR(INDEX('2b. Dataset in R'!$H:$H,MATCH($A541,'2b. Dataset in R'!$A:$A,0)),PROPER($B541))</f>
        <v>Integer</v>
      </c>
    </row>
    <row r="542" spans="1:7" x14ac:dyDescent="0.3">
      <c r="A542" t="s">
        <v>636</v>
      </c>
      <c r="B542" t="s">
        <v>263</v>
      </c>
      <c r="C542" t="s">
        <v>636</v>
      </c>
      <c r="D542">
        <v>0</v>
      </c>
      <c r="E542">
        <v>0</v>
      </c>
      <c r="G542" s="4" t="str">
        <f>IFERROR(INDEX('2b. Dataset in R'!$H:$H,MATCH($A542,'2b. Dataset in R'!$A:$A,0)),PROPER($B542))</f>
        <v>Numeric</v>
      </c>
    </row>
    <row r="543" spans="1:7" x14ac:dyDescent="0.3">
      <c r="A543" t="s">
        <v>638</v>
      </c>
      <c r="B543" t="s">
        <v>263</v>
      </c>
      <c r="C543" t="s">
        <v>638</v>
      </c>
      <c r="D543">
        <v>0</v>
      </c>
      <c r="E543">
        <v>0</v>
      </c>
      <c r="G543" s="4" t="str">
        <f>IFERROR(INDEX('2b. Dataset in R'!$H:$H,MATCH($A543,'2b. Dataset in R'!$A:$A,0)),PROPER($B543))</f>
        <v>Numeric</v>
      </c>
    </row>
    <row r="544" spans="1:7" x14ac:dyDescent="0.3">
      <c r="A544" t="s">
        <v>639</v>
      </c>
      <c r="B544" t="s">
        <v>263</v>
      </c>
      <c r="C544" t="s">
        <v>639</v>
      </c>
      <c r="D544">
        <v>0</v>
      </c>
      <c r="E544">
        <v>0</v>
      </c>
      <c r="G544" s="4" t="str">
        <f>IFERROR(INDEX('2b. Dataset in R'!$H:$H,MATCH($A544,'2b. Dataset in R'!$A:$A,0)),PROPER($B544))</f>
        <v>Numeric</v>
      </c>
    </row>
    <row r="545" spans="1:7" x14ac:dyDescent="0.3">
      <c r="A545" t="s">
        <v>640</v>
      </c>
      <c r="B545" t="s">
        <v>263</v>
      </c>
      <c r="C545" t="s">
        <v>640</v>
      </c>
      <c r="D545">
        <v>0</v>
      </c>
      <c r="E545">
        <v>0</v>
      </c>
      <c r="G545" s="4" t="str">
        <f>IFERROR(INDEX('2b. Dataset in R'!$H:$H,MATCH($A545,'2b. Dataset in R'!$A:$A,0)),PROPER($B545))</f>
        <v>Numeric</v>
      </c>
    </row>
    <row r="546" spans="1:7" x14ac:dyDescent="0.3">
      <c r="A546" t="s">
        <v>257</v>
      </c>
      <c r="B546" t="s">
        <v>263</v>
      </c>
      <c r="C546" t="s">
        <v>257</v>
      </c>
      <c r="D546">
        <v>0</v>
      </c>
      <c r="E546">
        <v>0</v>
      </c>
      <c r="G546" s="4" t="str">
        <f>IFERROR(INDEX('2b. Dataset in R'!$H:$H,MATCH($A546,'2b. Dataset in R'!$A:$A,0)),PROPER($B546))</f>
        <v>Numeric</v>
      </c>
    </row>
    <row r="547" spans="1:7" x14ac:dyDescent="0.3">
      <c r="A547" t="s">
        <v>641</v>
      </c>
      <c r="B547" t="s">
        <v>263</v>
      </c>
      <c r="C547" t="s">
        <v>641</v>
      </c>
      <c r="D547">
        <v>0</v>
      </c>
      <c r="E547">
        <v>0</v>
      </c>
      <c r="G547" s="4" t="str">
        <f>IFERROR(INDEX('2b. Dataset in R'!$H:$H,MATCH($A547,'2b. Dataset in R'!$A:$A,0)),PROPER($B547))</f>
        <v>Numeric</v>
      </c>
    </row>
    <row r="548" spans="1:7" x14ac:dyDescent="0.3">
      <c r="A548" t="s">
        <v>1377</v>
      </c>
      <c r="B548" t="s">
        <v>263</v>
      </c>
      <c r="C548" t="s">
        <v>1377</v>
      </c>
      <c r="D548">
        <v>0</v>
      </c>
      <c r="E548">
        <v>0</v>
      </c>
      <c r="G548" s="4" t="str">
        <f>IFERROR(INDEX('2b. Dataset in R'!$H:$H,MATCH($A548,'2b. Dataset in R'!$A:$A,0)),PROPER($B548))</f>
        <v>Numeric</v>
      </c>
    </row>
    <row r="549" spans="1:7" x14ac:dyDescent="0.3">
      <c r="A549" t="s">
        <v>1378</v>
      </c>
      <c r="B549" t="s">
        <v>263</v>
      </c>
      <c r="C549" t="s">
        <v>1378</v>
      </c>
      <c r="D549">
        <v>0</v>
      </c>
      <c r="E549">
        <v>0</v>
      </c>
      <c r="G549" s="4" t="str">
        <f>IFERROR(INDEX('2b. Dataset in R'!$H:$H,MATCH($A549,'2b. Dataset in R'!$A:$A,0)),PROPER($B549))</f>
        <v>Numeric</v>
      </c>
    </row>
    <row r="550" spans="1:7" x14ac:dyDescent="0.3">
      <c r="G550" s="4"/>
    </row>
    <row r="551" spans="1:7" x14ac:dyDescent="0.3">
      <c r="G551" s="4"/>
    </row>
    <row r="552" spans="1:7" x14ac:dyDescent="0.3">
      <c r="G552" s="4"/>
    </row>
    <row r="553" spans="1:7" x14ac:dyDescent="0.3">
      <c r="G553" s="4"/>
    </row>
    <row r="554" spans="1:7" x14ac:dyDescent="0.3">
      <c r="G554" s="4"/>
    </row>
    <row r="555" spans="1:7" x14ac:dyDescent="0.3">
      <c r="G555" s="4"/>
    </row>
    <row r="556" spans="1:7" x14ac:dyDescent="0.3">
      <c r="G556" s="4"/>
    </row>
    <row r="557" spans="1:7" x14ac:dyDescent="0.3">
      <c r="G557" s="4"/>
    </row>
    <row r="558" spans="1:7" x14ac:dyDescent="0.3">
      <c r="G558" s="4"/>
    </row>
    <row r="559" spans="1:7" x14ac:dyDescent="0.3">
      <c r="G559" s="4"/>
    </row>
    <row r="560" spans="1:7" x14ac:dyDescent="0.3">
      <c r="G560" s="4"/>
    </row>
    <row r="561" spans="7:7" x14ac:dyDescent="0.3">
      <c r="G561" s="4"/>
    </row>
    <row r="562" spans="7:7" x14ac:dyDescent="0.3">
      <c r="G562" s="4"/>
    </row>
    <row r="563" spans="7:7" x14ac:dyDescent="0.3">
      <c r="G563" s="4"/>
    </row>
    <row r="564" spans="7:7" x14ac:dyDescent="0.3">
      <c r="G564" s="4"/>
    </row>
    <row r="565" spans="7:7" x14ac:dyDescent="0.3">
      <c r="G565" s="4"/>
    </row>
    <row r="566" spans="7:7" x14ac:dyDescent="0.3">
      <c r="G566" s="4"/>
    </row>
    <row r="567" spans="7:7" x14ac:dyDescent="0.3">
      <c r="G567" s="4"/>
    </row>
    <row r="568" spans="7:7" x14ac:dyDescent="0.3">
      <c r="G568" s="4"/>
    </row>
    <row r="569" spans="7:7" x14ac:dyDescent="0.3">
      <c r="G569" s="4"/>
    </row>
    <row r="570" spans="7:7" x14ac:dyDescent="0.3">
      <c r="G570" s="4"/>
    </row>
    <row r="571" spans="7:7" x14ac:dyDescent="0.3">
      <c r="G571" s="4"/>
    </row>
    <row r="572" spans="7:7" x14ac:dyDescent="0.3">
      <c r="G572" s="4"/>
    </row>
    <row r="573" spans="7:7" x14ac:dyDescent="0.3">
      <c r="G573" s="4"/>
    </row>
    <row r="574" spans="7:7" x14ac:dyDescent="0.3">
      <c r="G574" s="4"/>
    </row>
    <row r="575" spans="7:7" x14ac:dyDescent="0.3">
      <c r="G575" s="4"/>
    </row>
    <row r="576" spans="7:7" x14ac:dyDescent="0.3">
      <c r="G576" s="4"/>
    </row>
    <row r="577" spans="7:7" x14ac:dyDescent="0.3">
      <c r="G577" s="4"/>
    </row>
    <row r="578" spans="7:7" x14ac:dyDescent="0.3">
      <c r="G578" s="4"/>
    </row>
    <row r="579" spans="7:7" x14ac:dyDescent="0.3">
      <c r="G579" s="4"/>
    </row>
    <row r="580" spans="7:7" x14ac:dyDescent="0.3">
      <c r="G580" s="4"/>
    </row>
    <row r="581" spans="7:7" x14ac:dyDescent="0.3">
      <c r="G581" s="4"/>
    </row>
    <row r="582" spans="7:7" x14ac:dyDescent="0.3">
      <c r="G582" s="4"/>
    </row>
    <row r="583" spans="7:7" x14ac:dyDescent="0.3">
      <c r="G583" s="4"/>
    </row>
    <row r="584" spans="7:7" x14ac:dyDescent="0.3">
      <c r="G584" s="4"/>
    </row>
    <row r="585" spans="7:7" x14ac:dyDescent="0.3">
      <c r="G585" s="4"/>
    </row>
    <row r="586" spans="7:7" x14ac:dyDescent="0.3">
      <c r="G586" s="4"/>
    </row>
    <row r="587" spans="7:7" x14ac:dyDescent="0.3">
      <c r="G587" s="4"/>
    </row>
    <row r="588" spans="7:7" x14ac:dyDescent="0.3">
      <c r="G588" s="4"/>
    </row>
    <row r="589" spans="7:7" x14ac:dyDescent="0.3">
      <c r="G589" s="4"/>
    </row>
    <row r="590" spans="7:7" x14ac:dyDescent="0.3">
      <c r="G590" s="4"/>
    </row>
    <row r="591" spans="7:7" x14ac:dyDescent="0.3">
      <c r="G591" s="4"/>
    </row>
    <row r="592" spans="7:7" x14ac:dyDescent="0.3">
      <c r="G592" s="4"/>
    </row>
    <row r="593" spans="7:7" x14ac:dyDescent="0.3">
      <c r="G593" s="4"/>
    </row>
    <row r="594" spans="7:7" x14ac:dyDescent="0.3">
      <c r="G594" s="4"/>
    </row>
    <row r="595" spans="7:7" x14ac:dyDescent="0.3">
      <c r="G595" s="4"/>
    </row>
    <row r="596" spans="7:7" x14ac:dyDescent="0.3">
      <c r="G596" s="4"/>
    </row>
    <row r="597" spans="7:7" x14ac:dyDescent="0.3">
      <c r="G597" s="4"/>
    </row>
    <row r="598" spans="7:7" x14ac:dyDescent="0.3">
      <c r="G598" s="4"/>
    </row>
    <row r="599" spans="7:7" x14ac:dyDescent="0.3">
      <c r="G599" s="4"/>
    </row>
    <row r="600" spans="7:7" x14ac:dyDescent="0.3">
      <c r="G600" s="4"/>
    </row>
    <row r="601" spans="7:7" x14ac:dyDescent="0.3">
      <c r="G601" s="4"/>
    </row>
    <row r="602" spans="7:7" x14ac:dyDescent="0.3">
      <c r="G602" s="4"/>
    </row>
    <row r="603" spans="7:7" x14ac:dyDescent="0.3">
      <c r="G603" s="4"/>
    </row>
    <row r="604" spans="7:7" x14ac:dyDescent="0.3">
      <c r="G604" s="4"/>
    </row>
    <row r="605" spans="7:7" x14ac:dyDescent="0.3">
      <c r="G605" s="4"/>
    </row>
    <row r="606" spans="7:7" x14ac:dyDescent="0.3">
      <c r="G606" s="4"/>
    </row>
    <row r="607" spans="7:7" x14ac:dyDescent="0.3">
      <c r="G607" s="4"/>
    </row>
    <row r="608" spans="7:7" x14ac:dyDescent="0.3">
      <c r="G608" s="4"/>
    </row>
    <row r="609" spans="7:7" x14ac:dyDescent="0.3">
      <c r="G609" s="4"/>
    </row>
    <row r="610" spans="7:7" x14ac:dyDescent="0.3">
      <c r="G610" s="4"/>
    </row>
    <row r="611" spans="7:7" x14ac:dyDescent="0.3">
      <c r="G611" s="4"/>
    </row>
    <row r="612" spans="7:7" x14ac:dyDescent="0.3">
      <c r="G612" s="4"/>
    </row>
    <row r="613" spans="7:7" x14ac:dyDescent="0.3">
      <c r="G613" s="4"/>
    </row>
    <row r="614" spans="7:7" x14ac:dyDescent="0.3">
      <c r="G614" s="4"/>
    </row>
    <row r="615" spans="7:7" x14ac:dyDescent="0.3">
      <c r="G615" s="4"/>
    </row>
    <row r="616" spans="7:7" x14ac:dyDescent="0.3">
      <c r="G616" s="4"/>
    </row>
    <row r="617" spans="7:7" x14ac:dyDescent="0.3">
      <c r="G617" s="4"/>
    </row>
    <row r="618" spans="7:7" x14ac:dyDescent="0.3">
      <c r="G618" s="4"/>
    </row>
    <row r="619" spans="7:7" x14ac:dyDescent="0.3">
      <c r="G619" s="4"/>
    </row>
    <row r="620" spans="7:7" x14ac:dyDescent="0.3">
      <c r="G620" s="4"/>
    </row>
    <row r="621" spans="7:7" x14ac:dyDescent="0.3">
      <c r="G621" s="4"/>
    </row>
    <row r="622" spans="7:7" x14ac:dyDescent="0.3">
      <c r="G622" s="4"/>
    </row>
    <row r="623" spans="7:7" x14ac:dyDescent="0.3">
      <c r="G623" s="4"/>
    </row>
    <row r="624" spans="7:7" x14ac:dyDescent="0.3">
      <c r="G624" s="4"/>
    </row>
    <row r="625" spans="7:7" x14ac:dyDescent="0.3">
      <c r="G625" s="4"/>
    </row>
    <row r="626" spans="7:7" x14ac:dyDescent="0.3">
      <c r="G626" s="4"/>
    </row>
    <row r="627" spans="7:7" x14ac:dyDescent="0.3">
      <c r="G627" s="4"/>
    </row>
    <row r="628" spans="7:7" x14ac:dyDescent="0.3">
      <c r="G628" s="4"/>
    </row>
    <row r="629" spans="7:7" x14ac:dyDescent="0.3">
      <c r="G629" s="4"/>
    </row>
    <row r="630" spans="7:7" x14ac:dyDescent="0.3">
      <c r="G630" s="4"/>
    </row>
    <row r="631" spans="7:7" x14ac:dyDescent="0.3">
      <c r="G631" s="4"/>
    </row>
    <row r="632" spans="7:7" x14ac:dyDescent="0.3">
      <c r="G632" s="4"/>
    </row>
    <row r="633" spans="7:7" x14ac:dyDescent="0.3">
      <c r="G633" s="4"/>
    </row>
    <row r="634" spans="7:7" x14ac:dyDescent="0.3">
      <c r="G634" s="4"/>
    </row>
    <row r="635" spans="7:7" x14ac:dyDescent="0.3">
      <c r="G635" s="4"/>
    </row>
    <row r="636" spans="7:7" x14ac:dyDescent="0.3">
      <c r="G636" s="4"/>
    </row>
    <row r="637" spans="7:7" x14ac:dyDescent="0.3">
      <c r="G637" s="4"/>
    </row>
    <row r="638" spans="7:7" x14ac:dyDescent="0.3">
      <c r="G638" s="4"/>
    </row>
    <row r="639" spans="7:7" x14ac:dyDescent="0.3">
      <c r="G639" s="4"/>
    </row>
    <row r="640" spans="7:7" x14ac:dyDescent="0.3">
      <c r="G640" s="4"/>
    </row>
    <row r="641" spans="7:7" x14ac:dyDescent="0.3">
      <c r="G641" s="4"/>
    </row>
    <row r="642" spans="7:7" x14ac:dyDescent="0.3">
      <c r="G642" s="4"/>
    </row>
    <row r="643" spans="7:7" x14ac:dyDescent="0.3">
      <c r="G643" s="4"/>
    </row>
    <row r="644" spans="7:7" x14ac:dyDescent="0.3">
      <c r="G644" s="4"/>
    </row>
    <row r="645" spans="7:7" x14ac:dyDescent="0.3">
      <c r="G645" s="4"/>
    </row>
    <row r="646" spans="7:7" x14ac:dyDescent="0.3">
      <c r="G646" s="4"/>
    </row>
    <row r="647" spans="7:7" x14ac:dyDescent="0.3">
      <c r="G647" s="4"/>
    </row>
    <row r="648" spans="7:7" x14ac:dyDescent="0.3">
      <c r="G648" s="4"/>
    </row>
    <row r="649" spans="7:7" x14ac:dyDescent="0.3">
      <c r="G649" s="4"/>
    </row>
    <row r="650" spans="7:7" x14ac:dyDescent="0.3">
      <c r="G650" s="4"/>
    </row>
    <row r="651" spans="7:7" x14ac:dyDescent="0.3">
      <c r="G651" s="4"/>
    </row>
    <row r="652" spans="7:7" x14ac:dyDescent="0.3">
      <c r="G652" s="4"/>
    </row>
    <row r="653" spans="7:7" x14ac:dyDescent="0.3">
      <c r="G653" s="4"/>
    </row>
    <row r="654" spans="7:7" x14ac:dyDescent="0.3">
      <c r="G654" s="4"/>
    </row>
    <row r="655" spans="7:7" x14ac:dyDescent="0.3">
      <c r="G655" s="4"/>
    </row>
    <row r="656" spans="7:7" x14ac:dyDescent="0.3">
      <c r="G656" s="4"/>
    </row>
    <row r="657" spans="7:7" x14ac:dyDescent="0.3">
      <c r="G657" s="4"/>
    </row>
    <row r="658" spans="7:7" x14ac:dyDescent="0.3">
      <c r="G658" s="4"/>
    </row>
    <row r="659" spans="7:7" x14ac:dyDescent="0.3">
      <c r="G659" s="4"/>
    </row>
    <row r="660" spans="7:7" x14ac:dyDescent="0.3">
      <c r="G660" s="4"/>
    </row>
    <row r="661" spans="7:7" x14ac:dyDescent="0.3">
      <c r="G661" s="4"/>
    </row>
    <row r="662" spans="7:7" x14ac:dyDescent="0.3">
      <c r="G662" s="4"/>
    </row>
    <row r="663" spans="7:7" x14ac:dyDescent="0.3">
      <c r="G663" s="4"/>
    </row>
    <row r="664" spans="7:7" x14ac:dyDescent="0.3">
      <c r="G664" s="4"/>
    </row>
    <row r="665" spans="7:7" x14ac:dyDescent="0.3">
      <c r="G665" s="4"/>
    </row>
    <row r="666" spans="7:7" x14ac:dyDescent="0.3">
      <c r="G666" s="4"/>
    </row>
    <row r="667" spans="7:7" x14ac:dyDescent="0.3">
      <c r="G667" s="4"/>
    </row>
    <row r="668" spans="7:7" x14ac:dyDescent="0.3">
      <c r="G668" s="4"/>
    </row>
    <row r="669" spans="7:7" x14ac:dyDescent="0.3">
      <c r="G669" s="4"/>
    </row>
    <row r="670" spans="7:7" x14ac:dyDescent="0.3">
      <c r="G670" s="4"/>
    </row>
    <row r="671" spans="7:7" x14ac:dyDescent="0.3">
      <c r="G671" s="4"/>
    </row>
    <row r="672" spans="7:7" x14ac:dyDescent="0.3">
      <c r="G672" s="4"/>
    </row>
    <row r="673" spans="7:7" x14ac:dyDescent="0.3">
      <c r="G673" s="4"/>
    </row>
    <row r="674" spans="7:7" x14ac:dyDescent="0.3">
      <c r="G674" s="4"/>
    </row>
    <row r="675" spans="7:7" x14ac:dyDescent="0.3">
      <c r="G675" s="4"/>
    </row>
    <row r="676" spans="7:7" x14ac:dyDescent="0.3">
      <c r="G676" s="4"/>
    </row>
    <row r="677" spans="7:7" x14ac:dyDescent="0.3">
      <c r="G677" s="4"/>
    </row>
    <row r="678" spans="7:7" x14ac:dyDescent="0.3">
      <c r="G678" s="4"/>
    </row>
    <row r="679" spans="7:7" x14ac:dyDescent="0.3">
      <c r="G679" s="4"/>
    </row>
    <row r="680" spans="7:7" x14ac:dyDescent="0.3">
      <c r="G680" s="4"/>
    </row>
    <row r="681" spans="7:7" x14ac:dyDescent="0.3">
      <c r="G681" s="4"/>
    </row>
    <row r="682" spans="7:7" x14ac:dyDescent="0.3">
      <c r="G682" s="4"/>
    </row>
    <row r="683" spans="7:7" x14ac:dyDescent="0.3">
      <c r="G683" s="4"/>
    </row>
    <row r="684" spans="7:7" x14ac:dyDescent="0.3">
      <c r="G684" s="4"/>
    </row>
    <row r="685" spans="7:7" x14ac:dyDescent="0.3">
      <c r="G685" s="4"/>
    </row>
    <row r="686" spans="7:7" x14ac:dyDescent="0.3">
      <c r="G686" s="4"/>
    </row>
    <row r="687" spans="7:7" x14ac:dyDescent="0.3">
      <c r="G687" s="4"/>
    </row>
    <row r="688" spans="7:7" x14ac:dyDescent="0.3">
      <c r="G688" s="4"/>
    </row>
    <row r="689" spans="7:7" x14ac:dyDescent="0.3">
      <c r="G689" s="4"/>
    </row>
    <row r="690" spans="7:7" x14ac:dyDescent="0.3">
      <c r="G690" s="4"/>
    </row>
    <row r="691" spans="7:7" x14ac:dyDescent="0.3">
      <c r="G691" s="4"/>
    </row>
    <row r="692" spans="7:7" x14ac:dyDescent="0.3">
      <c r="G692" s="4"/>
    </row>
    <row r="693" spans="7:7" x14ac:dyDescent="0.3">
      <c r="G693" s="4"/>
    </row>
    <row r="694" spans="7:7" x14ac:dyDescent="0.3">
      <c r="G694" s="4"/>
    </row>
    <row r="695" spans="7:7" x14ac:dyDescent="0.3">
      <c r="G695" s="4"/>
    </row>
    <row r="696" spans="7:7" x14ac:dyDescent="0.3">
      <c r="G696" s="4"/>
    </row>
    <row r="697" spans="7:7" x14ac:dyDescent="0.3">
      <c r="G697" s="4"/>
    </row>
    <row r="698" spans="7:7" x14ac:dyDescent="0.3">
      <c r="G698" s="4"/>
    </row>
    <row r="699" spans="7:7" x14ac:dyDescent="0.3">
      <c r="G699" s="4"/>
    </row>
    <row r="700" spans="7:7" x14ac:dyDescent="0.3">
      <c r="G700" s="4"/>
    </row>
    <row r="701" spans="7:7" x14ac:dyDescent="0.3">
      <c r="G701" s="4"/>
    </row>
    <row r="702" spans="7:7" x14ac:dyDescent="0.3">
      <c r="G702" s="4"/>
    </row>
    <row r="703" spans="7:7" x14ac:dyDescent="0.3">
      <c r="G703" s="4"/>
    </row>
    <row r="704" spans="7:7" x14ac:dyDescent="0.3">
      <c r="G704" s="4"/>
    </row>
    <row r="705" spans="7:7" x14ac:dyDescent="0.3">
      <c r="G705" s="4"/>
    </row>
    <row r="706" spans="7:7" x14ac:dyDescent="0.3">
      <c r="G706" s="4"/>
    </row>
    <row r="707" spans="7:7" x14ac:dyDescent="0.3">
      <c r="G707" s="4"/>
    </row>
    <row r="708" spans="7:7" x14ac:dyDescent="0.3">
      <c r="G708" s="4"/>
    </row>
    <row r="709" spans="7:7" x14ac:dyDescent="0.3">
      <c r="G709" s="4"/>
    </row>
    <row r="710" spans="7:7" x14ac:dyDescent="0.3">
      <c r="G710" s="4"/>
    </row>
    <row r="711" spans="7:7" x14ac:dyDescent="0.3">
      <c r="G711" s="4"/>
    </row>
    <row r="712" spans="7:7" x14ac:dyDescent="0.3">
      <c r="G712" s="4"/>
    </row>
    <row r="713" spans="7:7" x14ac:dyDescent="0.3">
      <c r="G713" s="4"/>
    </row>
    <row r="714" spans="7:7" x14ac:dyDescent="0.3">
      <c r="G714" s="4"/>
    </row>
    <row r="715" spans="7:7" x14ac:dyDescent="0.3">
      <c r="G715" s="4"/>
    </row>
    <row r="716" spans="7:7" x14ac:dyDescent="0.3">
      <c r="G716" s="4"/>
    </row>
    <row r="717" spans="7:7" x14ac:dyDescent="0.3">
      <c r="G717" s="4"/>
    </row>
    <row r="718" spans="7:7" x14ac:dyDescent="0.3">
      <c r="G718" s="4"/>
    </row>
    <row r="719" spans="7:7" x14ac:dyDescent="0.3">
      <c r="G719" s="4"/>
    </row>
    <row r="720" spans="7:7" x14ac:dyDescent="0.3">
      <c r="G720" s="4"/>
    </row>
    <row r="721" spans="7:7" x14ac:dyDescent="0.3">
      <c r="G721" s="4"/>
    </row>
    <row r="722" spans="7:7" x14ac:dyDescent="0.3">
      <c r="G722" s="4"/>
    </row>
    <row r="723" spans="7:7" x14ac:dyDescent="0.3">
      <c r="G723" s="4"/>
    </row>
    <row r="724" spans="7:7" x14ac:dyDescent="0.3">
      <c r="G724" s="4"/>
    </row>
    <row r="725" spans="7:7" x14ac:dyDescent="0.3">
      <c r="G725" s="4"/>
    </row>
    <row r="726" spans="7:7" x14ac:dyDescent="0.3">
      <c r="G726" s="4"/>
    </row>
    <row r="727" spans="7:7" x14ac:dyDescent="0.3">
      <c r="G727" s="4"/>
    </row>
    <row r="728" spans="7:7" x14ac:dyDescent="0.3">
      <c r="G728" s="4"/>
    </row>
    <row r="729" spans="7:7" x14ac:dyDescent="0.3">
      <c r="G729" s="4"/>
    </row>
    <row r="730" spans="7:7" x14ac:dyDescent="0.3">
      <c r="G730" s="4"/>
    </row>
    <row r="731" spans="7:7" x14ac:dyDescent="0.3">
      <c r="G731" s="4"/>
    </row>
    <row r="732" spans="7:7" x14ac:dyDescent="0.3">
      <c r="G732" s="4"/>
    </row>
    <row r="733" spans="7:7" x14ac:dyDescent="0.3">
      <c r="G733" s="4"/>
    </row>
    <row r="734" spans="7:7" x14ac:dyDescent="0.3">
      <c r="G734" s="4"/>
    </row>
    <row r="735" spans="7:7" x14ac:dyDescent="0.3">
      <c r="G735" s="4"/>
    </row>
    <row r="736" spans="7:7" x14ac:dyDescent="0.3">
      <c r="G736" s="4"/>
    </row>
    <row r="737" spans="7:7" x14ac:dyDescent="0.3">
      <c r="G737" s="4"/>
    </row>
    <row r="738" spans="7:7" x14ac:dyDescent="0.3">
      <c r="G738" s="4"/>
    </row>
    <row r="739" spans="7:7" x14ac:dyDescent="0.3">
      <c r="G739" s="4"/>
    </row>
    <row r="740" spans="7:7" x14ac:dyDescent="0.3">
      <c r="G740" s="4"/>
    </row>
    <row r="741" spans="7:7" x14ac:dyDescent="0.3">
      <c r="G741" s="4"/>
    </row>
    <row r="742" spans="7:7" x14ac:dyDescent="0.3">
      <c r="G742" s="4"/>
    </row>
    <row r="743" spans="7:7" x14ac:dyDescent="0.3">
      <c r="G743" s="4"/>
    </row>
    <row r="744" spans="7:7" x14ac:dyDescent="0.3">
      <c r="G744" s="4"/>
    </row>
    <row r="745" spans="7:7" x14ac:dyDescent="0.3">
      <c r="G745" s="4"/>
    </row>
    <row r="746" spans="7:7" x14ac:dyDescent="0.3">
      <c r="G746" s="4"/>
    </row>
    <row r="747" spans="7:7" x14ac:dyDescent="0.3">
      <c r="G747" s="4"/>
    </row>
    <row r="748" spans="7:7" x14ac:dyDescent="0.3">
      <c r="G748" s="4"/>
    </row>
    <row r="749" spans="7:7" x14ac:dyDescent="0.3">
      <c r="G749" s="4"/>
    </row>
    <row r="750" spans="7:7" x14ac:dyDescent="0.3">
      <c r="G750" s="4"/>
    </row>
    <row r="751" spans="7:7" x14ac:dyDescent="0.3">
      <c r="G751" s="4"/>
    </row>
    <row r="752" spans="7:7" x14ac:dyDescent="0.3">
      <c r="G752" s="4"/>
    </row>
    <row r="753" spans="7:7" x14ac:dyDescent="0.3">
      <c r="G753" s="4"/>
    </row>
    <row r="754" spans="7:7" x14ac:dyDescent="0.3">
      <c r="G754" s="4"/>
    </row>
    <row r="755" spans="7:7" x14ac:dyDescent="0.3">
      <c r="G755" s="4"/>
    </row>
    <row r="756" spans="7:7" x14ac:dyDescent="0.3">
      <c r="G756" s="4"/>
    </row>
    <row r="757" spans="7:7" x14ac:dyDescent="0.3">
      <c r="G757" s="4"/>
    </row>
    <row r="758" spans="7:7" x14ac:dyDescent="0.3">
      <c r="G758" s="4"/>
    </row>
    <row r="759" spans="7:7" x14ac:dyDescent="0.3">
      <c r="G759" s="4"/>
    </row>
    <row r="760" spans="7:7" x14ac:dyDescent="0.3">
      <c r="G760" s="4"/>
    </row>
    <row r="761" spans="7:7" x14ac:dyDescent="0.3">
      <c r="G761" s="4"/>
    </row>
    <row r="762" spans="7:7" x14ac:dyDescent="0.3">
      <c r="G762" s="4"/>
    </row>
    <row r="763" spans="7:7" x14ac:dyDescent="0.3">
      <c r="G763" s="4"/>
    </row>
    <row r="764" spans="7:7" x14ac:dyDescent="0.3">
      <c r="G764" s="4"/>
    </row>
    <row r="765" spans="7:7" x14ac:dyDescent="0.3">
      <c r="G765" s="4"/>
    </row>
    <row r="766" spans="7:7" x14ac:dyDescent="0.3">
      <c r="G766" s="4"/>
    </row>
    <row r="767" spans="7:7" x14ac:dyDescent="0.3">
      <c r="G767" s="4"/>
    </row>
    <row r="768" spans="7:7" x14ac:dyDescent="0.3">
      <c r="G768" s="4"/>
    </row>
    <row r="769" spans="7:7" x14ac:dyDescent="0.3">
      <c r="G769" s="4"/>
    </row>
    <row r="770" spans="7:7" x14ac:dyDescent="0.3">
      <c r="G770" s="4"/>
    </row>
    <row r="771" spans="7:7" x14ac:dyDescent="0.3">
      <c r="G771" s="4"/>
    </row>
    <row r="772" spans="7:7" x14ac:dyDescent="0.3">
      <c r="G772" s="4"/>
    </row>
    <row r="773" spans="7:7" x14ac:dyDescent="0.3">
      <c r="G773" s="4"/>
    </row>
    <row r="774" spans="7:7" x14ac:dyDescent="0.3">
      <c r="G774" s="4"/>
    </row>
    <row r="775" spans="7:7" x14ac:dyDescent="0.3">
      <c r="G775" s="4"/>
    </row>
    <row r="776" spans="7:7" x14ac:dyDescent="0.3">
      <c r="G776" s="4"/>
    </row>
    <row r="777" spans="7:7" x14ac:dyDescent="0.3">
      <c r="G777" s="4"/>
    </row>
    <row r="778" spans="7:7" x14ac:dyDescent="0.3">
      <c r="G778" s="4"/>
    </row>
    <row r="779" spans="7:7" x14ac:dyDescent="0.3">
      <c r="G779" s="4"/>
    </row>
    <row r="780" spans="7:7" x14ac:dyDescent="0.3">
      <c r="G780" s="4"/>
    </row>
    <row r="781" spans="7:7" x14ac:dyDescent="0.3">
      <c r="G781" s="4"/>
    </row>
    <row r="782" spans="7:7" x14ac:dyDescent="0.3">
      <c r="G782" s="4"/>
    </row>
    <row r="783" spans="7:7" x14ac:dyDescent="0.3">
      <c r="G783" s="4"/>
    </row>
    <row r="784" spans="7:7" x14ac:dyDescent="0.3">
      <c r="G784" s="4"/>
    </row>
    <row r="785" spans="7:7" x14ac:dyDescent="0.3">
      <c r="G785" s="4"/>
    </row>
    <row r="786" spans="7:7" x14ac:dyDescent="0.3">
      <c r="G786" s="4"/>
    </row>
    <row r="787" spans="7:7" x14ac:dyDescent="0.3">
      <c r="G787" s="4"/>
    </row>
    <row r="788" spans="7:7" x14ac:dyDescent="0.3">
      <c r="G788" s="4"/>
    </row>
    <row r="789" spans="7:7" x14ac:dyDescent="0.3">
      <c r="G789" s="4"/>
    </row>
    <row r="790" spans="7:7" x14ac:dyDescent="0.3">
      <c r="G790" s="4"/>
    </row>
    <row r="791" spans="7:7" x14ac:dyDescent="0.3">
      <c r="G791" s="4"/>
    </row>
    <row r="792" spans="7:7" x14ac:dyDescent="0.3">
      <c r="G792" s="4"/>
    </row>
    <row r="793" spans="7:7" x14ac:dyDescent="0.3">
      <c r="G793" s="4"/>
    </row>
    <row r="794" spans="7:7" x14ac:dyDescent="0.3">
      <c r="G794" s="4"/>
    </row>
    <row r="795" spans="7:7" x14ac:dyDescent="0.3">
      <c r="G795" s="4"/>
    </row>
    <row r="796" spans="7:7" x14ac:dyDescent="0.3">
      <c r="G796" s="4"/>
    </row>
    <row r="797" spans="7:7" x14ac:dyDescent="0.3">
      <c r="G797" s="4"/>
    </row>
    <row r="798" spans="7:7" x14ac:dyDescent="0.3">
      <c r="G798" s="4"/>
    </row>
    <row r="799" spans="7:7" x14ac:dyDescent="0.3">
      <c r="G799" s="4"/>
    </row>
    <row r="800" spans="7:7" x14ac:dyDescent="0.3">
      <c r="G800" s="4"/>
    </row>
    <row r="801" spans="7:7" x14ac:dyDescent="0.3">
      <c r="G801" s="4"/>
    </row>
    <row r="802" spans="7:7" x14ac:dyDescent="0.3">
      <c r="G802" s="4"/>
    </row>
    <row r="803" spans="7:7" x14ac:dyDescent="0.3">
      <c r="G803" s="4"/>
    </row>
    <row r="804" spans="7:7" x14ac:dyDescent="0.3">
      <c r="G804" s="4"/>
    </row>
    <row r="805" spans="7:7" x14ac:dyDescent="0.3">
      <c r="G805" s="4"/>
    </row>
    <row r="806" spans="7:7" x14ac:dyDescent="0.3">
      <c r="G806" s="4"/>
    </row>
    <row r="807" spans="7:7" x14ac:dyDescent="0.3">
      <c r="G807" s="4"/>
    </row>
    <row r="808" spans="7:7" x14ac:dyDescent="0.3">
      <c r="G808" s="4"/>
    </row>
    <row r="809" spans="7:7" x14ac:dyDescent="0.3">
      <c r="G809" s="4"/>
    </row>
    <row r="810" spans="7:7" x14ac:dyDescent="0.3">
      <c r="G810" s="4"/>
    </row>
    <row r="811" spans="7:7" x14ac:dyDescent="0.3">
      <c r="G811" s="4"/>
    </row>
    <row r="812" spans="7:7" x14ac:dyDescent="0.3">
      <c r="G812" s="4"/>
    </row>
    <row r="813" spans="7:7" x14ac:dyDescent="0.3">
      <c r="G813" s="4"/>
    </row>
    <row r="814" spans="7:7" x14ac:dyDescent="0.3">
      <c r="G814" s="4"/>
    </row>
    <row r="815" spans="7:7" x14ac:dyDescent="0.3">
      <c r="G815" s="4"/>
    </row>
    <row r="816" spans="7:7" x14ac:dyDescent="0.3">
      <c r="G816" s="4"/>
    </row>
    <row r="817" spans="7:7" x14ac:dyDescent="0.3">
      <c r="G817" s="4"/>
    </row>
    <row r="818" spans="7:7" x14ac:dyDescent="0.3">
      <c r="G818" s="4"/>
    </row>
    <row r="819" spans="7:7" x14ac:dyDescent="0.3">
      <c r="G819" s="4"/>
    </row>
    <row r="820" spans="7:7" x14ac:dyDescent="0.3">
      <c r="G820" s="4"/>
    </row>
    <row r="821" spans="7:7" x14ac:dyDescent="0.3">
      <c r="G821" s="4"/>
    </row>
    <row r="822" spans="7:7" x14ac:dyDescent="0.3">
      <c r="G822" s="4"/>
    </row>
    <row r="823" spans="7:7" x14ac:dyDescent="0.3">
      <c r="G823" s="4"/>
    </row>
    <row r="824" spans="7:7" x14ac:dyDescent="0.3">
      <c r="G824" s="4"/>
    </row>
    <row r="825" spans="7:7" x14ac:dyDescent="0.3">
      <c r="G825" s="4"/>
    </row>
    <row r="826" spans="7:7" x14ac:dyDescent="0.3">
      <c r="G826" s="4"/>
    </row>
    <row r="827" spans="7:7" x14ac:dyDescent="0.3">
      <c r="G827" s="4"/>
    </row>
    <row r="828" spans="7:7" x14ac:dyDescent="0.3">
      <c r="G828" s="4"/>
    </row>
    <row r="829" spans="7:7" x14ac:dyDescent="0.3">
      <c r="G829" s="4"/>
    </row>
    <row r="830" spans="7:7" x14ac:dyDescent="0.3">
      <c r="G830" s="4"/>
    </row>
    <row r="831" spans="7:7" x14ac:dyDescent="0.3">
      <c r="G831" s="4"/>
    </row>
    <row r="832" spans="7:7" x14ac:dyDescent="0.3">
      <c r="G832" s="4"/>
    </row>
    <row r="833" spans="7:7" x14ac:dyDescent="0.3">
      <c r="G833" s="4"/>
    </row>
    <row r="834" spans="7:7" x14ac:dyDescent="0.3">
      <c r="G834" s="4"/>
    </row>
    <row r="835" spans="7:7" x14ac:dyDescent="0.3">
      <c r="G835" s="4"/>
    </row>
    <row r="836" spans="7:7" x14ac:dyDescent="0.3">
      <c r="G836" s="4"/>
    </row>
    <row r="837" spans="7:7" x14ac:dyDescent="0.3">
      <c r="G837" s="4"/>
    </row>
    <row r="838" spans="7:7" x14ac:dyDescent="0.3">
      <c r="G838" s="4"/>
    </row>
    <row r="839" spans="7:7" x14ac:dyDescent="0.3">
      <c r="G839" s="4"/>
    </row>
    <row r="840" spans="7:7" x14ac:dyDescent="0.3">
      <c r="G840" s="4"/>
    </row>
    <row r="841" spans="7:7" x14ac:dyDescent="0.3">
      <c r="G841" s="4"/>
    </row>
    <row r="842" spans="7:7" x14ac:dyDescent="0.3">
      <c r="G842" s="4"/>
    </row>
    <row r="843" spans="7:7" x14ac:dyDescent="0.3">
      <c r="G843" s="4"/>
    </row>
    <row r="844" spans="7:7" x14ac:dyDescent="0.3">
      <c r="G844" s="4"/>
    </row>
    <row r="845" spans="7:7" x14ac:dyDescent="0.3">
      <c r="G845" s="4"/>
    </row>
    <row r="846" spans="7:7" x14ac:dyDescent="0.3">
      <c r="G846" s="4"/>
    </row>
    <row r="847" spans="7:7" x14ac:dyDescent="0.3">
      <c r="G847" s="4"/>
    </row>
    <row r="848" spans="7:7" x14ac:dyDescent="0.3">
      <c r="G848" s="4"/>
    </row>
    <row r="849" spans="7:7" x14ac:dyDescent="0.3">
      <c r="G849" s="4"/>
    </row>
    <row r="850" spans="7:7" x14ac:dyDescent="0.3">
      <c r="G850" s="4"/>
    </row>
    <row r="851" spans="7:7" x14ac:dyDescent="0.3">
      <c r="G851" s="4"/>
    </row>
    <row r="852" spans="7:7" x14ac:dyDescent="0.3">
      <c r="G852" s="4"/>
    </row>
    <row r="853" spans="7:7" x14ac:dyDescent="0.3">
      <c r="G853" s="4"/>
    </row>
    <row r="854" spans="7:7" x14ac:dyDescent="0.3">
      <c r="G854" s="4"/>
    </row>
    <row r="855" spans="7:7" x14ac:dyDescent="0.3">
      <c r="G855" s="4"/>
    </row>
    <row r="856" spans="7:7" x14ac:dyDescent="0.3">
      <c r="G856" s="4"/>
    </row>
    <row r="857" spans="7:7" x14ac:dyDescent="0.3">
      <c r="G857" s="4"/>
    </row>
    <row r="858" spans="7:7" x14ac:dyDescent="0.3">
      <c r="G858" s="4"/>
    </row>
    <row r="859" spans="7:7" x14ac:dyDescent="0.3">
      <c r="G859" s="4"/>
    </row>
    <row r="860" spans="7:7" x14ac:dyDescent="0.3">
      <c r="G860" s="4"/>
    </row>
    <row r="861" spans="7:7" x14ac:dyDescent="0.3">
      <c r="G861" s="4"/>
    </row>
    <row r="862" spans="7:7" x14ac:dyDescent="0.3">
      <c r="G862" s="4"/>
    </row>
    <row r="863" spans="7:7" x14ac:dyDescent="0.3">
      <c r="G863" s="4"/>
    </row>
    <row r="864" spans="7:7" x14ac:dyDescent="0.3">
      <c r="G864" s="4"/>
    </row>
    <row r="865" spans="7:7" x14ac:dyDescent="0.3">
      <c r="G865" s="4"/>
    </row>
    <row r="866" spans="7:7" x14ac:dyDescent="0.3">
      <c r="G866" s="4"/>
    </row>
    <row r="867" spans="7:7" x14ac:dyDescent="0.3">
      <c r="G867" s="4"/>
    </row>
    <row r="868" spans="7:7" x14ac:dyDescent="0.3">
      <c r="G868" s="4"/>
    </row>
    <row r="869" spans="7:7" x14ac:dyDescent="0.3">
      <c r="G869" s="4"/>
    </row>
    <row r="870" spans="7:7" x14ac:dyDescent="0.3">
      <c r="G870" s="4"/>
    </row>
    <row r="871" spans="7:7" x14ac:dyDescent="0.3">
      <c r="G871" s="4"/>
    </row>
    <row r="872" spans="7:7" x14ac:dyDescent="0.3">
      <c r="G872" s="4"/>
    </row>
    <row r="873" spans="7:7" x14ac:dyDescent="0.3">
      <c r="G873" s="4"/>
    </row>
    <row r="874" spans="7:7" x14ac:dyDescent="0.3">
      <c r="G874" s="4"/>
    </row>
    <row r="875" spans="7:7" x14ac:dyDescent="0.3">
      <c r="G875" s="4"/>
    </row>
    <row r="876" spans="7:7" x14ac:dyDescent="0.3">
      <c r="G876" s="4"/>
    </row>
    <row r="877" spans="7:7" x14ac:dyDescent="0.3">
      <c r="G877" s="4"/>
    </row>
    <row r="878" spans="7:7" x14ac:dyDescent="0.3">
      <c r="G878" s="4"/>
    </row>
    <row r="879" spans="7:7" x14ac:dyDescent="0.3">
      <c r="G879" s="4"/>
    </row>
    <row r="880" spans="7:7" x14ac:dyDescent="0.3">
      <c r="G880" s="4"/>
    </row>
    <row r="881" spans="7:7" x14ac:dyDescent="0.3">
      <c r="G881" s="4"/>
    </row>
    <row r="882" spans="7:7" x14ac:dyDescent="0.3">
      <c r="G882" s="4"/>
    </row>
    <row r="883" spans="7:7" x14ac:dyDescent="0.3">
      <c r="G883" s="4"/>
    </row>
    <row r="884" spans="7:7" x14ac:dyDescent="0.3">
      <c r="G884" s="4"/>
    </row>
    <row r="885" spans="7:7" x14ac:dyDescent="0.3">
      <c r="G885" s="4"/>
    </row>
    <row r="886" spans="7:7" x14ac:dyDescent="0.3">
      <c r="G886" s="4"/>
    </row>
    <row r="887" spans="7:7" x14ac:dyDescent="0.3">
      <c r="G887" s="4"/>
    </row>
    <row r="888" spans="7:7" x14ac:dyDescent="0.3">
      <c r="G888" s="4"/>
    </row>
    <row r="889" spans="7:7" x14ac:dyDescent="0.3">
      <c r="G889" s="4"/>
    </row>
    <row r="890" spans="7:7" x14ac:dyDescent="0.3">
      <c r="G890" s="4"/>
    </row>
    <row r="891" spans="7:7" x14ac:dyDescent="0.3">
      <c r="G891" s="4"/>
    </row>
    <row r="892" spans="7:7" x14ac:dyDescent="0.3">
      <c r="G892" s="4"/>
    </row>
    <row r="893" spans="7:7" x14ac:dyDescent="0.3">
      <c r="G893" s="4"/>
    </row>
    <row r="894" spans="7:7" x14ac:dyDescent="0.3">
      <c r="G894" s="4"/>
    </row>
    <row r="895" spans="7:7" x14ac:dyDescent="0.3">
      <c r="G895" s="4"/>
    </row>
    <row r="896" spans="7:7" x14ac:dyDescent="0.3">
      <c r="G896" s="4"/>
    </row>
    <row r="897" spans="7:7" x14ac:dyDescent="0.3">
      <c r="G897" s="4"/>
    </row>
    <row r="898" spans="7:7" x14ac:dyDescent="0.3">
      <c r="G898" s="4"/>
    </row>
    <row r="899" spans="7:7" x14ac:dyDescent="0.3">
      <c r="G899" s="4"/>
    </row>
    <row r="900" spans="7:7" x14ac:dyDescent="0.3">
      <c r="G900" s="4"/>
    </row>
    <row r="901" spans="7:7" x14ac:dyDescent="0.3">
      <c r="G901" s="4"/>
    </row>
    <row r="902" spans="7:7" x14ac:dyDescent="0.3">
      <c r="G902" s="4"/>
    </row>
    <row r="903" spans="7:7" x14ac:dyDescent="0.3">
      <c r="G903" s="4"/>
    </row>
    <row r="904" spans="7:7" x14ac:dyDescent="0.3">
      <c r="G904" s="4"/>
    </row>
    <row r="905" spans="7:7" x14ac:dyDescent="0.3">
      <c r="G905" s="4"/>
    </row>
    <row r="906" spans="7:7" x14ac:dyDescent="0.3">
      <c r="G906" s="4"/>
    </row>
    <row r="907" spans="7:7" x14ac:dyDescent="0.3">
      <c r="G907" s="4"/>
    </row>
    <row r="908" spans="7:7" x14ac:dyDescent="0.3">
      <c r="G908" s="4"/>
    </row>
    <row r="909" spans="7:7" x14ac:dyDescent="0.3">
      <c r="G909" s="4"/>
    </row>
    <row r="910" spans="7:7" x14ac:dyDescent="0.3">
      <c r="G910" s="4"/>
    </row>
    <row r="911" spans="7:7" x14ac:dyDescent="0.3">
      <c r="G911" s="4"/>
    </row>
    <row r="912" spans="7:7" x14ac:dyDescent="0.3">
      <c r="G912" s="4"/>
    </row>
    <row r="913" spans="7:7" x14ac:dyDescent="0.3">
      <c r="G913" s="4"/>
    </row>
    <row r="914" spans="7:7" x14ac:dyDescent="0.3">
      <c r="G914" s="4"/>
    </row>
    <row r="915" spans="7:7" x14ac:dyDescent="0.3">
      <c r="G915" s="4"/>
    </row>
    <row r="916" spans="7:7" x14ac:dyDescent="0.3">
      <c r="G916" s="4"/>
    </row>
    <row r="917" spans="7:7" x14ac:dyDescent="0.3">
      <c r="G917" s="4"/>
    </row>
    <row r="918" spans="7:7" x14ac:dyDescent="0.3">
      <c r="G918" s="4"/>
    </row>
    <row r="919" spans="7:7" x14ac:dyDescent="0.3">
      <c r="G919" s="4"/>
    </row>
    <row r="920" spans="7:7" x14ac:dyDescent="0.3">
      <c r="G920" s="4"/>
    </row>
    <row r="921" spans="7:7" x14ac:dyDescent="0.3">
      <c r="G921" s="4"/>
    </row>
    <row r="922" spans="7:7" x14ac:dyDescent="0.3">
      <c r="G922" s="4"/>
    </row>
    <row r="923" spans="7:7" x14ac:dyDescent="0.3">
      <c r="G923" s="4"/>
    </row>
    <row r="924" spans="7:7" x14ac:dyDescent="0.3">
      <c r="G924" s="4"/>
    </row>
    <row r="925" spans="7:7" x14ac:dyDescent="0.3">
      <c r="G925" s="4"/>
    </row>
    <row r="926" spans="7:7" x14ac:dyDescent="0.3">
      <c r="G926" s="4"/>
    </row>
    <row r="927" spans="7:7" x14ac:dyDescent="0.3">
      <c r="G927" s="4"/>
    </row>
    <row r="928" spans="7:7" x14ac:dyDescent="0.3">
      <c r="G928" s="4"/>
    </row>
    <row r="929" spans="7:7" x14ac:dyDescent="0.3">
      <c r="G929" s="4"/>
    </row>
    <row r="930" spans="7:7" x14ac:dyDescent="0.3">
      <c r="G930" s="4"/>
    </row>
    <row r="931" spans="7:7" x14ac:dyDescent="0.3">
      <c r="G931" s="4"/>
    </row>
    <row r="932" spans="7:7" x14ac:dyDescent="0.3">
      <c r="G932" s="4"/>
    </row>
    <row r="933" spans="7:7" x14ac:dyDescent="0.3">
      <c r="G933" s="4"/>
    </row>
    <row r="934" spans="7:7" x14ac:dyDescent="0.3">
      <c r="G934" s="4"/>
    </row>
    <row r="935" spans="7:7" x14ac:dyDescent="0.3">
      <c r="G935" s="4"/>
    </row>
    <row r="936" spans="7:7" x14ac:dyDescent="0.3">
      <c r="G936" s="4"/>
    </row>
    <row r="937" spans="7:7" x14ac:dyDescent="0.3">
      <c r="G937" s="4"/>
    </row>
    <row r="938" spans="7:7" x14ac:dyDescent="0.3">
      <c r="G938" s="4"/>
    </row>
    <row r="939" spans="7:7" x14ac:dyDescent="0.3">
      <c r="G939" s="4"/>
    </row>
    <row r="940" spans="7:7" x14ac:dyDescent="0.3">
      <c r="G940" s="4"/>
    </row>
    <row r="941" spans="7:7" x14ac:dyDescent="0.3">
      <c r="G941" s="4"/>
    </row>
    <row r="942" spans="7:7" x14ac:dyDescent="0.3">
      <c r="G942" s="4"/>
    </row>
    <row r="943" spans="7:7" x14ac:dyDescent="0.3">
      <c r="G943" s="4"/>
    </row>
    <row r="944" spans="7:7" x14ac:dyDescent="0.3">
      <c r="G944" s="4"/>
    </row>
    <row r="945" spans="7:7" x14ac:dyDescent="0.3">
      <c r="G945" s="4"/>
    </row>
    <row r="946" spans="7:7" x14ac:dyDescent="0.3">
      <c r="G946" s="4"/>
    </row>
    <row r="947" spans="7:7" x14ac:dyDescent="0.3">
      <c r="G947" s="4"/>
    </row>
    <row r="948" spans="7:7" x14ac:dyDescent="0.3">
      <c r="G948" s="4"/>
    </row>
    <row r="949" spans="7:7" x14ac:dyDescent="0.3">
      <c r="G949" s="4"/>
    </row>
    <row r="950" spans="7:7" x14ac:dyDescent="0.3">
      <c r="G950" s="4"/>
    </row>
    <row r="951" spans="7:7" x14ac:dyDescent="0.3">
      <c r="G951" s="4"/>
    </row>
    <row r="952" spans="7:7" x14ac:dyDescent="0.3">
      <c r="G952" s="4"/>
    </row>
    <row r="953" spans="7:7" x14ac:dyDescent="0.3">
      <c r="G953" s="4"/>
    </row>
    <row r="954" spans="7:7" x14ac:dyDescent="0.3">
      <c r="G954" s="4"/>
    </row>
    <row r="955" spans="7:7" x14ac:dyDescent="0.3">
      <c r="G955" s="4"/>
    </row>
    <row r="956" spans="7:7" x14ac:dyDescent="0.3">
      <c r="G956" s="4"/>
    </row>
    <row r="957" spans="7:7" x14ac:dyDescent="0.3">
      <c r="G957" s="4"/>
    </row>
    <row r="958" spans="7:7" x14ac:dyDescent="0.3">
      <c r="G958" s="4"/>
    </row>
    <row r="959" spans="7:7" x14ac:dyDescent="0.3">
      <c r="G959" s="4"/>
    </row>
    <row r="960" spans="7:7" x14ac:dyDescent="0.3">
      <c r="G960" s="4"/>
    </row>
    <row r="961" spans="7:7" x14ac:dyDescent="0.3">
      <c r="G961" s="4"/>
    </row>
    <row r="962" spans="7:7" x14ac:dyDescent="0.3">
      <c r="G962" s="4"/>
    </row>
    <row r="963" spans="7:7" x14ac:dyDescent="0.3">
      <c r="G963" s="4"/>
    </row>
    <row r="964" spans="7:7" x14ac:dyDescent="0.3">
      <c r="G964" s="4"/>
    </row>
    <row r="965" spans="7:7" x14ac:dyDescent="0.3">
      <c r="G965" s="4"/>
    </row>
    <row r="966" spans="7:7" x14ac:dyDescent="0.3">
      <c r="G966" s="4"/>
    </row>
    <row r="967" spans="7:7" x14ac:dyDescent="0.3">
      <c r="G967" s="4"/>
    </row>
    <row r="968" spans="7:7" x14ac:dyDescent="0.3">
      <c r="G968" s="4"/>
    </row>
    <row r="969" spans="7:7" x14ac:dyDescent="0.3">
      <c r="G969" s="4"/>
    </row>
    <row r="970" spans="7:7" x14ac:dyDescent="0.3">
      <c r="G970" s="4"/>
    </row>
    <row r="971" spans="7:7" x14ac:dyDescent="0.3">
      <c r="G971" s="4"/>
    </row>
    <row r="972" spans="7:7" x14ac:dyDescent="0.3">
      <c r="G972" s="4"/>
    </row>
    <row r="973" spans="7:7" x14ac:dyDescent="0.3">
      <c r="G973" s="4"/>
    </row>
    <row r="974" spans="7:7" x14ac:dyDescent="0.3">
      <c r="G974" s="4"/>
    </row>
    <row r="975" spans="7:7" x14ac:dyDescent="0.3">
      <c r="G975" s="4"/>
    </row>
    <row r="976" spans="7:7" x14ac:dyDescent="0.3">
      <c r="G976" s="4"/>
    </row>
    <row r="977" spans="7:7" x14ac:dyDescent="0.3">
      <c r="G977" s="4"/>
    </row>
    <row r="978" spans="7:7" x14ac:dyDescent="0.3">
      <c r="G978" s="4"/>
    </row>
    <row r="979" spans="7:7" x14ac:dyDescent="0.3">
      <c r="G979" s="4"/>
    </row>
    <row r="980" spans="7:7" x14ac:dyDescent="0.3">
      <c r="G980" s="4"/>
    </row>
    <row r="981" spans="7:7" x14ac:dyDescent="0.3">
      <c r="G981" s="4"/>
    </row>
    <row r="982" spans="7:7" x14ac:dyDescent="0.3">
      <c r="G982" s="4"/>
    </row>
    <row r="983" spans="7:7" x14ac:dyDescent="0.3">
      <c r="G983" s="4"/>
    </row>
    <row r="984" spans="7:7" x14ac:dyDescent="0.3">
      <c r="G984" s="4"/>
    </row>
    <row r="985" spans="7:7" x14ac:dyDescent="0.3">
      <c r="G985" s="4"/>
    </row>
    <row r="986" spans="7:7" x14ac:dyDescent="0.3">
      <c r="G986" s="4"/>
    </row>
    <row r="987" spans="7:7" x14ac:dyDescent="0.3">
      <c r="G987" s="4"/>
    </row>
    <row r="988" spans="7:7" x14ac:dyDescent="0.3">
      <c r="G988" s="4"/>
    </row>
    <row r="989" spans="7:7" x14ac:dyDescent="0.3">
      <c r="G989" s="4"/>
    </row>
    <row r="990" spans="7:7" x14ac:dyDescent="0.3">
      <c r="G990" s="4"/>
    </row>
    <row r="991" spans="7:7" x14ac:dyDescent="0.3">
      <c r="G991" s="4"/>
    </row>
    <row r="992" spans="7:7" x14ac:dyDescent="0.3">
      <c r="G992" s="4"/>
    </row>
    <row r="993" spans="7:7" x14ac:dyDescent="0.3">
      <c r="G993" s="4"/>
    </row>
    <row r="994" spans="7:7" x14ac:dyDescent="0.3">
      <c r="G994" s="4"/>
    </row>
    <row r="995" spans="7:7" x14ac:dyDescent="0.3">
      <c r="G995" s="4"/>
    </row>
    <row r="996" spans="7:7" x14ac:dyDescent="0.3">
      <c r="G996" s="4"/>
    </row>
    <row r="997" spans="7:7" x14ac:dyDescent="0.3">
      <c r="G997" s="4"/>
    </row>
    <row r="998" spans="7:7" x14ac:dyDescent="0.3">
      <c r="G998" s="4"/>
    </row>
    <row r="999" spans="7:7" x14ac:dyDescent="0.3">
      <c r="G999" s="4"/>
    </row>
    <row r="1000" spans="7:7" x14ac:dyDescent="0.3">
      <c r="G1000" s="4"/>
    </row>
    <row r="1001" spans="7:7" x14ac:dyDescent="0.3">
      <c r="G1001" s="4"/>
    </row>
    <row r="1002" spans="7:7" x14ac:dyDescent="0.3">
      <c r="G1002" s="4"/>
    </row>
    <row r="1003" spans="7:7" x14ac:dyDescent="0.3">
      <c r="G1003" s="4"/>
    </row>
    <row r="1004" spans="7:7" x14ac:dyDescent="0.3">
      <c r="G1004" s="4"/>
    </row>
    <row r="1005" spans="7:7" x14ac:dyDescent="0.3">
      <c r="G1005" s="4"/>
    </row>
    <row r="1006" spans="7:7" x14ac:dyDescent="0.3">
      <c r="G1006" s="4"/>
    </row>
    <row r="1007" spans="7:7" x14ac:dyDescent="0.3">
      <c r="G1007" s="4"/>
    </row>
    <row r="1008" spans="7:7" x14ac:dyDescent="0.3">
      <c r="G1008" s="4"/>
    </row>
    <row r="1009" spans="7:7" x14ac:dyDescent="0.3">
      <c r="G1009" s="4"/>
    </row>
    <row r="1010" spans="7:7" x14ac:dyDescent="0.3">
      <c r="G1010" s="4"/>
    </row>
    <row r="1011" spans="7:7" x14ac:dyDescent="0.3">
      <c r="G1011" s="4"/>
    </row>
    <row r="1012" spans="7:7" x14ac:dyDescent="0.3">
      <c r="G1012" s="4"/>
    </row>
    <row r="1013" spans="7:7" x14ac:dyDescent="0.3">
      <c r="G1013" s="4"/>
    </row>
    <row r="1014" spans="7:7" x14ac:dyDescent="0.3">
      <c r="G1014" s="4"/>
    </row>
    <row r="1015" spans="7:7" x14ac:dyDescent="0.3">
      <c r="G1015" s="4"/>
    </row>
    <row r="1016" spans="7:7" x14ac:dyDescent="0.3">
      <c r="G1016" s="4"/>
    </row>
    <row r="1017" spans="7:7" x14ac:dyDescent="0.3">
      <c r="G1017" s="4"/>
    </row>
    <row r="1018" spans="7:7" x14ac:dyDescent="0.3">
      <c r="G1018" s="4"/>
    </row>
    <row r="1019" spans="7:7" x14ac:dyDescent="0.3">
      <c r="G1019" s="4"/>
    </row>
    <row r="1020" spans="7:7" x14ac:dyDescent="0.3">
      <c r="G1020" s="4"/>
    </row>
    <row r="1021" spans="7:7" x14ac:dyDescent="0.3">
      <c r="G1021" s="4"/>
    </row>
    <row r="1022" spans="7:7" x14ac:dyDescent="0.3">
      <c r="G1022" s="4"/>
    </row>
    <row r="1023" spans="7:7" x14ac:dyDescent="0.3">
      <c r="G1023" s="4"/>
    </row>
    <row r="1024" spans="7:7" x14ac:dyDescent="0.3">
      <c r="G1024" s="4"/>
    </row>
    <row r="1025" spans="7:7" x14ac:dyDescent="0.3">
      <c r="G1025" s="4"/>
    </row>
    <row r="1026" spans="7:7" x14ac:dyDescent="0.3">
      <c r="G1026" s="4"/>
    </row>
    <row r="1027" spans="7:7" x14ac:dyDescent="0.3">
      <c r="G1027" s="4"/>
    </row>
    <row r="1028" spans="7:7" x14ac:dyDescent="0.3">
      <c r="G1028" s="4"/>
    </row>
    <row r="1029" spans="7:7" x14ac:dyDescent="0.3">
      <c r="G1029" s="4"/>
    </row>
    <row r="1030" spans="7:7" x14ac:dyDescent="0.3">
      <c r="G1030" s="4"/>
    </row>
    <row r="1031" spans="7:7" x14ac:dyDescent="0.3">
      <c r="G1031" s="4"/>
    </row>
    <row r="1032" spans="7:7" x14ac:dyDescent="0.3">
      <c r="G1032" s="4"/>
    </row>
    <row r="1033" spans="7:7" x14ac:dyDescent="0.3">
      <c r="G1033" s="4"/>
    </row>
    <row r="1034" spans="7:7" x14ac:dyDescent="0.3">
      <c r="G1034" s="4"/>
    </row>
    <row r="1035" spans="7:7" x14ac:dyDescent="0.3">
      <c r="G1035" s="4"/>
    </row>
    <row r="1036" spans="7:7" x14ac:dyDescent="0.3">
      <c r="G1036" s="4"/>
    </row>
    <row r="1037" spans="7:7" x14ac:dyDescent="0.3">
      <c r="G1037" s="4"/>
    </row>
    <row r="1038" spans="7:7" x14ac:dyDescent="0.3">
      <c r="G1038" s="4"/>
    </row>
    <row r="1039" spans="7:7" x14ac:dyDescent="0.3">
      <c r="G1039" s="4"/>
    </row>
    <row r="1040" spans="7:7" x14ac:dyDescent="0.3">
      <c r="G1040" s="4"/>
    </row>
    <row r="1041" spans="7:7" x14ac:dyDescent="0.3">
      <c r="G1041" s="4"/>
    </row>
    <row r="1042" spans="7:7" x14ac:dyDescent="0.3">
      <c r="G1042" s="4"/>
    </row>
    <row r="1043" spans="7:7" x14ac:dyDescent="0.3">
      <c r="G1043" s="4"/>
    </row>
    <row r="1044" spans="7:7" x14ac:dyDescent="0.3">
      <c r="G1044" s="4"/>
    </row>
    <row r="1045" spans="7:7" x14ac:dyDescent="0.3">
      <c r="G1045" s="4"/>
    </row>
    <row r="1046" spans="7:7" x14ac:dyDescent="0.3">
      <c r="G1046" s="4"/>
    </row>
    <row r="1047" spans="7:7" x14ac:dyDescent="0.3">
      <c r="G1047" s="4"/>
    </row>
    <row r="1048" spans="7:7" x14ac:dyDescent="0.3">
      <c r="G1048" s="4"/>
    </row>
    <row r="1049" spans="7:7" x14ac:dyDescent="0.3">
      <c r="G1049" s="4"/>
    </row>
    <row r="1050" spans="7:7" x14ac:dyDescent="0.3">
      <c r="G1050" s="4"/>
    </row>
    <row r="1051" spans="7:7" x14ac:dyDescent="0.3">
      <c r="G1051" s="4"/>
    </row>
    <row r="1052" spans="7:7" x14ac:dyDescent="0.3">
      <c r="G1052" s="4"/>
    </row>
    <row r="1053" spans="7:7" x14ac:dyDescent="0.3">
      <c r="G1053" s="4"/>
    </row>
    <row r="1054" spans="7:7" x14ac:dyDescent="0.3">
      <c r="G1054" s="4"/>
    </row>
    <row r="1055" spans="7:7" x14ac:dyDescent="0.3">
      <c r="G1055" s="4"/>
    </row>
    <row r="1056" spans="7:7" x14ac:dyDescent="0.3">
      <c r="G1056" s="4"/>
    </row>
    <row r="1057" spans="7:7" x14ac:dyDescent="0.3">
      <c r="G1057" s="4"/>
    </row>
    <row r="1058" spans="7:7" x14ac:dyDescent="0.3">
      <c r="G1058" s="4"/>
    </row>
    <row r="1059" spans="7:7" x14ac:dyDescent="0.3">
      <c r="G1059" s="4"/>
    </row>
    <row r="1060" spans="7:7" x14ac:dyDescent="0.3">
      <c r="G1060" s="4"/>
    </row>
    <row r="1061" spans="7:7" x14ac:dyDescent="0.3">
      <c r="G1061" s="4"/>
    </row>
    <row r="1062" spans="7:7" x14ac:dyDescent="0.3">
      <c r="G1062" s="4"/>
    </row>
    <row r="1063" spans="7:7" x14ac:dyDescent="0.3">
      <c r="G1063" s="4"/>
    </row>
    <row r="1064" spans="7:7" x14ac:dyDescent="0.3">
      <c r="G1064" s="4"/>
    </row>
    <row r="1065" spans="7:7" x14ac:dyDescent="0.3">
      <c r="G1065" s="4"/>
    </row>
    <row r="1066" spans="7:7" x14ac:dyDescent="0.3">
      <c r="G1066" s="4"/>
    </row>
    <row r="1067" spans="7:7" x14ac:dyDescent="0.3">
      <c r="G1067" s="4"/>
    </row>
    <row r="1068" spans="7:7" x14ac:dyDescent="0.3">
      <c r="G1068" s="4"/>
    </row>
    <row r="1069" spans="7:7" x14ac:dyDescent="0.3">
      <c r="G1069" s="4"/>
    </row>
    <row r="1070" spans="7:7" x14ac:dyDescent="0.3">
      <c r="G1070" s="4"/>
    </row>
    <row r="1071" spans="7:7" x14ac:dyDescent="0.3">
      <c r="G1071" s="4"/>
    </row>
    <row r="1072" spans="7:7" x14ac:dyDescent="0.3">
      <c r="G1072" s="4"/>
    </row>
    <row r="1073" spans="7:7" x14ac:dyDescent="0.3">
      <c r="G1073" s="4"/>
    </row>
    <row r="1074" spans="7:7" x14ac:dyDescent="0.3">
      <c r="G1074" s="4"/>
    </row>
    <row r="1075" spans="7:7" x14ac:dyDescent="0.3">
      <c r="G1075" s="4"/>
    </row>
    <row r="1076" spans="7:7" x14ac:dyDescent="0.3">
      <c r="G1076" s="4"/>
    </row>
    <row r="1077" spans="7:7" x14ac:dyDescent="0.3">
      <c r="G1077" s="4"/>
    </row>
    <row r="1078" spans="7:7" x14ac:dyDescent="0.3">
      <c r="G1078" s="4"/>
    </row>
    <row r="1079" spans="7:7" x14ac:dyDescent="0.3">
      <c r="G1079" s="4"/>
    </row>
    <row r="1080" spans="7:7" x14ac:dyDescent="0.3">
      <c r="G1080" s="4"/>
    </row>
    <row r="1081" spans="7:7" x14ac:dyDescent="0.3">
      <c r="G1081" s="4"/>
    </row>
    <row r="1082" spans="7:7" x14ac:dyDescent="0.3">
      <c r="G1082" s="4"/>
    </row>
    <row r="1083" spans="7:7" x14ac:dyDescent="0.3">
      <c r="G1083" s="4"/>
    </row>
    <row r="1084" spans="7:7" x14ac:dyDescent="0.3">
      <c r="G1084" s="4"/>
    </row>
    <row r="1085" spans="7:7" x14ac:dyDescent="0.3">
      <c r="G1085" s="4"/>
    </row>
    <row r="1086" spans="7:7" x14ac:dyDescent="0.3">
      <c r="G1086" s="4"/>
    </row>
    <row r="1087" spans="7:7" x14ac:dyDescent="0.3">
      <c r="G1087" s="4"/>
    </row>
    <row r="1088" spans="7:7" x14ac:dyDescent="0.3">
      <c r="G1088" s="4"/>
    </row>
    <row r="1089" spans="7:7" x14ac:dyDescent="0.3">
      <c r="G1089" s="4"/>
    </row>
    <row r="1090" spans="7:7" x14ac:dyDescent="0.3">
      <c r="G1090" s="4"/>
    </row>
    <row r="1091" spans="7:7" x14ac:dyDescent="0.3">
      <c r="G1091" s="4"/>
    </row>
    <row r="1092" spans="7:7" x14ac:dyDescent="0.3">
      <c r="G1092" s="4"/>
    </row>
    <row r="1093" spans="7:7" x14ac:dyDescent="0.3">
      <c r="G1093" s="4"/>
    </row>
    <row r="1094" spans="7:7" x14ac:dyDescent="0.3">
      <c r="G1094" s="4"/>
    </row>
    <row r="1095" spans="7:7" x14ac:dyDescent="0.3">
      <c r="G1095" s="4"/>
    </row>
    <row r="1096" spans="7:7" x14ac:dyDescent="0.3">
      <c r="G1096" s="4"/>
    </row>
    <row r="1097" spans="7:7" x14ac:dyDescent="0.3">
      <c r="G1097" s="4"/>
    </row>
    <row r="1098" spans="7:7" x14ac:dyDescent="0.3">
      <c r="G1098" s="4"/>
    </row>
    <row r="1099" spans="7:7" x14ac:dyDescent="0.3">
      <c r="G1099" s="4"/>
    </row>
    <row r="1100" spans="7:7" x14ac:dyDescent="0.3">
      <c r="G1100" s="4"/>
    </row>
    <row r="1101" spans="7:7" x14ac:dyDescent="0.3">
      <c r="G1101" s="4"/>
    </row>
    <row r="1102" spans="7:7" x14ac:dyDescent="0.3">
      <c r="G1102" s="4"/>
    </row>
    <row r="1103" spans="7:7" x14ac:dyDescent="0.3">
      <c r="G1103" s="4"/>
    </row>
    <row r="1104" spans="7:7" x14ac:dyDescent="0.3">
      <c r="G1104" s="4"/>
    </row>
    <row r="1105" spans="7:7" x14ac:dyDescent="0.3">
      <c r="G1105" s="4"/>
    </row>
    <row r="1106" spans="7:7" x14ac:dyDescent="0.3">
      <c r="G1106" s="4"/>
    </row>
    <row r="1107" spans="7:7" x14ac:dyDescent="0.3">
      <c r="G1107" s="4"/>
    </row>
    <row r="1108" spans="7:7" x14ac:dyDescent="0.3">
      <c r="G1108" s="4"/>
    </row>
    <row r="1109" spans="7:7" x14ac:dyDescent="0.3">
      <c r="G1109" s="4"/>
    </row>
    <row r="1110" spans="7:7" x14ac:dyDescent="0.3">
      <c r="G1110" s="4"/>
    </row>
    <row r="1111" spans="7:7" x14ac:dyDescent="0.3">
      <c r="G1111" s="4"/>
    </row>
    <row r="1112" spans="7:7" x14ac:dyDescent="0.3">
      <c r="G1112" s="4"/>
    </row>
    <row r="1113" spans="7:7" x14ac:dyDescent="0.3">
      <c r="G1113" s="4"/>
    </row>
    <row r="1114" spans="7:7" x14ac:dyDescent="0.3">
      <c r="G1114" s="4"/>
    </row>
    <row r="1115" spans="7:7" x14ac:dyDescent="0.3">
      <c r="G1115" s="4"/>
    </row>
    <row r="1116" spans="7:7" x14ac:dyDescent="0.3">
      <c r="G1116" s="4"/>
    </row>
    <row r="1117" spans="7:7" x14ac:dyDescent="0.3">
      <c r="G1117" s="4"/>
    </row>
    <row r="1118" spans="7:7" x14ac:dyDescent="0.3">
      <c r="G1118" s="4"/>
    </row>
    <row r="1119" spans="7:7" x14ac:dyDescent="0.3">
      <c r="G1119" s="4"/>
    </row>
    <row r="1120" spans="7:7" x14ac:dyDescent="0.3">
      <c r="G1120" s="4"/>
    </row>
    <row r="1121" spans="7:7" x14ac:dyDescent="0.3">
      <c r="G1121" s="4"/>
    </row>
    <row r="1122" spans="7:7" x14ac:dyDescent="0.3">
      <c r="G1122" s="4"/>
    </row>
    <row r="1123" spans="7:7" x14ac:dyDescent="0.3">
      <c r="G1123" s="4"/>
    </row>
    <row r="1124" spans="7:7" x14ac:dyDescent="0.3">
      <c r="G1124" s="4"/>
    </row>
    <row r="1125" spans="7:7" x14ac:dyDescent="0.3">
      <c r="G1125" s="4"/>
    </row>
    <row r="1126" spans="7:7" x14ac:dyDescent="0.3">
      <c r="G1126" s="4"/>
    </row>
    <row r="1127" spans="7:7" x14ac:dyDescent="0.3">
      <c r="G1127" s="4"/>
    </row>
    <row r="1128" spans="7:7" x14ac:dyDescent="0.3">
      <c r="G1128" s="4"/>
    </row>
    <row r="1129" spans="7:7" x14ac:dyDescent="0.3">
      <c r="G1129" s="4"/>
    </row>
    <row r="1130" spans="7:7" x14ac:dyDescent="0.3">
      <c r="G1130" s="4"/>
    </row>
    <row r="1131" spans="7:7" x14ac:dyDescent="0.3">
      <c r="G1131" s="4"/>
    </row>
    <row r="1132" spans="7:7" x14ac:dyDescent="0.3">
      <c r="G1132" s="4"/>
    </row>
    <row r="1133" spans="7:7" x14ac:dyDescent="0.3">
      <c r="G1133" s="4"/>
    </row>
    <row r="1134" spans="7:7" x14ac:dyDescent="0.3">
      <c r="G1134" s="4"/>
    </row>
    <row r="1135" spans="7:7" x14ac:dyDescent="0.3">
      <c r="G1135" s="4"/>
    </row>
    <row r="1136" spans="7:7" x14ac:dyDescent="0.3">
      <c r="G1136" s="4"/>
    </row>
    <row r="1137" spans="7:7" x14ac:dyDescent="0.3">
      <c r="G1137" s="4"/>
    </row>
    <row r="1138" spans="7:7" x14ac:dyDescent="0.3">
      <c r="G1138" s="4"/>
    </row>
    <row r="1139" spans="7:7" x14ac:dyDescent="0.3">
      <c r="G1139" s="4"/>
    </row>
    <row r="1140" spans="7:7" x14ac:dyDescent="0.3">
      <c r="G1140" s="4"/>
    </row>
    <row r="1141" spans="7:7" x14ac:dyDescent="0.3">
      <c r="G1141" s="4"/>
    </row>
    <row r="1142" spans="7:7" x14ac:dyDescent="0.3">
      <c r="G1142" s="4"/>
    </row>
    <row r="1143" spans="7:7" x14ac:dyDescent="0.3">
      <c r="G1143" s="4"/>
    </row>
    <row r="1144" spans="7:7" x14ac:dyDescent="0.3">
      <c r="G1144" s="4"/>
    </row>
    <row r="1145" spans="7:7" x14ac:dyDescent="0.3">
      <c r="G1145" s="4"/>
    </row>
    <row r="1146" spans="7:7" x14ac:dyDescent="0.3">
      <c r="G1146" s="4"/>
    </row>
    <row r="1147" spans="7:7" x14ac:dyDescent="0.3">
      <c r="G1147" s="4"/>
    </row>
    <row r="1148" spans="7:7" x14ac:dyDescent="0.3">
      <c r="G1148" s="4"/>
    </row>
    <row r="1149" spans="7:7" x14ac:dyDescent="0.3">
      <c r="G1149" s="4"/>
    </row>
    <row r="1150" spans="7:7" x14ac:dyDescent="0.3">
      <c r="G1150" s="4"/>
    </row>
    <row r="1151" spans="7:7" x14ac:dyDescent="0.3">
      <c r="G1151" s="4"/>
    </row>
    <row r="1152" spans="7:7" x14ac:dyDescent="0.3">
      <c r="G1152" s="4"/>
    </row>
    <row r="1153" spans="7:7" x14ac:dyDescent="0.3">
      <c r="G1153" s="4"/>
    </row>
    <row r="1154" spans="7:7" x14ac:dyDescent="0.3">
      <c r="G1154" s="4"/>
    </row>
    <row r="1155" spans="7:7" x14ac:dyDescent="0.3">
      <c r="G1155" s="4"/>
    </row>
    <row r="1156" spans="7:7" x14ac:dyDescent="0.3">
      <c r="G1156" s="4"/>
    </row>
    <row r="1157" spans="7:7" x14ac:dyDescent="0.3">
      <c r="G1157" s="4"/>
    </row>
    <row r="1158" spans="7:7" x14ac:dyDescent="0.3">
      <c r="G1158" s="4"/>
    </row>
    <row r="1159" spans="7:7" x14ac:dyDescent="0.3">
      <c r="G1159" s="4"/>
    </row>
    <row r="1160" spans="7:7" x14ac:dyDescent="0.3">
      <c r="G1160" s="4"/>
    </row>
    <row r="1161" spans="7:7" x14ac:dyDescent="0.3">
      <c r="G1161" s="4"/>
    </row>
    <row r="1162" spans="7:7" x14ac:dyDescent="0.3">
      <c r="G1162" s="4"/>
    </row>
    <row r="1163" spans="7:7" x14ac:dyDescent="0.3">
      <c r="G1163" s="4"/>
    </row>
    <row r="1164" spans="7:7" x14ac:dyDescent="0.3">
      <c r="G1164" s="4"/>
    </row>
    <row r="1165" spans="7:7" x14ac:dyDescent="0.3">
      <c r="G1165" s="4"/>
    </row>
    <row r="1166" spans="7:7" x14ac:dyDescent="0.3">
      <c r="G1166" s="4"/>
    </row>
    <row r="1167" spans="7:7" x14ac:dyDescent="0.3">
      <c r="G1167" s="4"/>
    </row>
    <row r="1168" spans="7:7" x14ac:dyDescent="0.3">
      <c r="G1168" s="4"/>
    </row>
    <row r="1169" spans="7:7" x14ac:dyDescent="0.3">
      <c r="G1169" s="4"/>
    </row>
    <row r="1170" spans="7:7" x14ac:dyDescent="0.3">
      <c r="G1170" s="4"/>
    </row>
    <row r="1171" spans="7:7" x14ac:dyDescent="0.3">
      <c r="G1171" s="4"/>
    </row>
    <row r="1172" spans="7:7" x14ac:dyDescent="0.3">
      <c r="G1172" s="4"/>
    </row>
    <row r="1173" spans="7:7" x14ac:dyDescent="0.3">
      <c r="G1173" s="4"/>
    </row>
    <row r="1174" spans="7:7" x14ac:dyDescent="0.3">
      <c r="G1174" s="4"/>
    </row>
    <row r="1175" spans="7:7" x14ac:dyDescent="0.3">
      <c r="G1175" s="4"/>
    </row>
    <row r="1176" spans="7:7" x14ac:dyDescent="0.3">
      <c r="G1176" s="4"/>
    </row>
    <row r="1177" spans="7:7" x14ac:dyDescent="0.3">
      <c r="G1177" s="4"/>
    </row>
    <row r="1178" spans="7:7" x14ac:dyDescent="0.3">
      <c r="G1178" s="4"/>
    </row>
    <row r="1179" spans="7:7" x14ac:dyDescent="0.3">
      <c r="G1179" s="4"/>
    </row>
    <row r="1180" spans="7:7" x14ac:dyDescent="0.3">
      <c r="G1180" s="4"/>
    </row>
    <row r="1181" spans="7:7" x14ac:dyDescent="0.3">
      <c r="G1181" s="4"/>
    </row>
    <row r="1182" spans="7:7" x14ac:dyDescent="0.3">
      <c r="G1182" s="4"/>
    </row>
    <row r="1183" spans="7:7" x14ac:dyDescent="0.3">
      <c r="G1183" s="4"/>
    </row>
    <row r="1184" spans="7:7" x14ac:dyDescent="0.3">
      <c r="G1184" s="4"/>
    </row>
    <row r="1185" spans="7:7" x14ac:dyDescent="0.3">
      <c r="G1185" s="4"/>
    </row>
    <row r="1186" spans="7:7" x14ac:dyDescent="0.3">
      <c r="G1186" s="4"/>
    </row>
    <row r="1187" spans="7:7" x14ac:dyDescent="0.3">
      <c r="G1187" s="4"/>
    </row>
    <row r="1188" spans="7:7" x14ac:dyDescent="0.3">
      <c r="G1188" s="4"/>
    </row>
    <row r="1189" spans="7:7" x14ac:dyDescent="0.3">
      <c r="G1189" s="4"/>
    </row>
    <row r="1190" spans="7:7" x14ac:dyDescent="0.3">
      <c r="G1190" s="4"/>
    </row>
    <row r="1191" spans="7:7" x14ac:dyDescent="0.3">
      <c r="G1191" s="4"/>
    </row>
    <row r="1192" spans="7:7" x14ac:dyDescent="0.3">
      <c r="G1192" s="4"/>
    </row>
    <row r="1193" spans="7:7" x14ac:dyDescent="0.3">
      <c r="G1193" s="4"/>
    </row>
    <row r="1194" spans="7:7" x14ac:dyDescent="0.3">
      <c r="G1194" s="4"/>
    </row>
    <row r="1195" spans="7:7" x14ac:dyDescent="0.3">
      <c r="G1195" s="4"/>
    </row>
    <row r="1196" spans="7:7" x14ac:dyDescent="0.3">
      <c r="G1196" s="4"/>
    </row>
    <row r="1197" spans="7:7" x14ac:dyDescent="0.3">
      <c r="G1197" s="4"/>
    </row>
    <row r="1198" spans="7:7" x14ac:dyDescent="0.3">
      <c r="G1198" s="4"/>
    </row>
    <row r="1199" spans="7:7" x14ac:dyDescent="0.3">
      <c r="G1199" s="4"/>
    </row>
    <row r="1200" spans="7:7" x14ac:dyDescent="0.3">
      <c r="G1200" s="4"/>
    </row>
    <row r="1201" spans="7:7" x14ac:dyDescent="0.3">
      <c r="G1201" s="4"/>
    </row>
    <row r="1202" spans="7:7" x14ac:dyDescent="0.3">
      <c r="G1202" s="4"/>
    </row>
    <row r="1203" spans="7:7" x14ac:dyDescent="0.3">
      <c r="G1203" s="4"/>
    </row>
    <row r="1204" spans="7:7" x14ac:dyDescent="0.3">
      <c r="G1204" s="4"/>
    </row>
    <row r="1205" spans="7:7" x14ac:dyDescent="0.3">
      <c r="G1205" s="4"/>
    </row>
    <row r="1206" spans="7:7" x14ac:dyDescent="0.3">
      <c r="G1206" s="4"/>
    </row>
    <row r="1207" spans="7:7" x14ac:dyDescent="0.3">
      <c r="G1207" s="4"/>
    </row>
    <row r="1208" spans="7:7" x14ac:dyDescent="0.3">
      <c r="G1208" s="4"/>
    </row>
    <row r="1209" spans="7:7" x14ac:dyDescent="0.3">
      <c r="G1209" s="4"/>
    </row>
    <row r="1210" spans="7:7" x14ac:dyDescent="0.3">
      <c r="G1210" s="4"/>
    </row>
    <row r="1211" spans="7:7" x14ac:dyDescent="0.3">
      <c r="G1211" s="4"/>
    </row>
    <row r="1212" spans="7:7" x14ac:dyDescent="0.3">
      <c r="G1212" s="4"/>
    </row>
    <row r="1213" spans="7:7" x14ac:dyDescent="0.3">
      <c r="G1213" s="4"/>
    </row>
    <row r="1214" spans="7:7" x14ac:dyDescent="0.3">
      <c r="G1214" s="4"/>
    </row>
    <row r="1215" spans="7:7" x14ac:dyDescent="0.3">
      <c r="G1215" s="4"/>
    </row>
    <row r="1216" spans="7:7" x14ac:dyDescent="0.3">
      <c r="G1216" s="4"/>
    </row>
    <row r="1217" spans="7:7" x14ac:dyDescent="0.3">
      <c r="G1217" s="4"/>
    </row>
    <row r="1218" spans="7:7" x14ac:dyDescent="0.3">
      <c r="G1218" s="4"/>
    </row>
    <row r="1219" spans="7:7" x14ac:dyDescent="0.3">
      <c r="G1219" s="4"/>
    </row>
    <row r="1220" spans="7:7" x14ac:dyDescent="0.3">
      <c r="G1220" s="4"/>
    </row>
    <row r="1221" spans="7:7" x14ac:dyDescent="0.3">
      <c r="G1221" s="4"/>
    </row>
    <row r="1222" spans="7:7" x14ac:dyDescent="0.3">
      <c r="G1222" s="4"/>
    </row>
    <row r="1223" spans="7:7" x14ac:dyDescent="0.3">
      <c r="G1223" s="4"/>
    </row>
    <row r="1224" spans="7:7" x14ac:dyDescent="0.3">
      <c r="G1224" s="4"/>
    </row>
    <row r="1225" spans="7:7" x14ac:dyDescent="0.3">
      <c r="G1225" s="4"/>
    </row>
    <row r="1226" spans="7:7" x14ac:dyDescent="0.3">
      <c r="G1226" s="4"/>
    </row>
    <row r="1227" spans="7:7" x14ac:dyDescent="0.3">
      <c r="G1227" s="4"/>
    </row>
    <row r="1228" spans="7:7" x14ac:dyDescent="0.3">
      <c r="G1228" s="4"/>
    </row>
    <row r="1229" spans="7:7" x14ac:dyDescent="0.3">
      <c r="G1229" s="4"/>
    </row>
    <row r="1230" spans="7:7" x14ac:dyDescent="0.3">
      <c r="G1230" s="4"/>
    </row>
    <row r="1231" spans="7:7" x14ac:dyDescent="0.3">
      <c r="G1231" s="4"/>
    </row>
    <row r="1232" spans="7:7" x14ac:dyDescent="0.3">
      <c r="G1232" s="4"/>
    </row>
    <row r="1233" spans="7:7" x14ac:dyDescent="0.3">
      <c r="G1233" s="4"/>
    </row>
    <row r="1234" spans="7:7" x14ac:dyDescent="0.3">
      <c r="G1234" s="4"/>
    </row>
    <row r="1235" spans="7:7" x14ac:dyDescent="0.3">
      <c r="G1235" s="4"/>
    </row>
    <row r="1236" spans="7:7" x14ac:dyDescent="0.3">
      <c r="G1236" s="4"/>
    </row>
    <row r="1237" spans="7:7" x14ac:dyDescent="0.3">
      <c r="G1237" s="4"/>
    </row>
    <row r="1238" spans="7:7" x14ac:dyDescent="0.3">
      <c r="G1238" s="4"/>
    </row>
    <row r="1239" spans="7:7" x14ac:dyDescent="0.3">
      <c r="G1239" s="4"/>
    </row>
    <row r="1240" spans="7:7" x14ac:dyDescent="0.3">
      <c r="G1240" s="4"/>
    </row>
    <row r="1241" spans="7:7" x14ac:dyDescent="0.3">
      <c r="G1241" s="4"/>
    </row>
    <row r="1242" spans="7:7" x14ac:dyDescent="0.3">
      <c r="G1242" s="4"/>
    </row>
    <row r="1243" spans="7:7" x14ac:dyDescent="0.3">
      <c r="G1243" s="4"/>
    </row>
    <row r="1244" spans="7:7" x14ac:dyDescent="0.3">
      <c r="G1244" s="4"/>
    </row>
    <row r="1245" spans="7:7" x14ac:dyDescent="0.3">
      <c r="G1245" s="4"/>
    </row>
    <row r="1246" spans="7:7" x14ac:dyDescent="0.3">
      <c r="G1246" s="4"/>
    </row>
    <row r="1247" spans="7:7" x14ac:dyDescent="0.3">
      <c r="G1247" s="4"/>
    </row>
    <row r="1248" spans="7:7" x14ac:dyDescent="0.3">
      <c r="G1248" s="4"/>
    </row>
    <row r="1249" spans="7:7" x14ac:dyDescent="0.3">
      <c r="G1249" s="4"/>
    </row>
    <row r="1250" spans="7:7" x14ac:dyDescent="0.3">
      <c r="G1250" s="4"/>
    </row>
    <row r="1251" spans="7:7" x14ac:dyDescent="0.3">
      <c r="G1251" s="4"/>
    </row>
    <row r="1252" spans="7:7" x14ac:dyDescent="0.3">
      <c r="G1252" s="4"/>
    </row>
    <row r="1253" spans="7:7" x14ac:dyDescent="0.3">
      <c r="G1253" s="4"/>
    </row>
    <row r="1254" spans="7:7" x14ac:dyDescent="0.3">
      <c r="G1254" s="4"/>
    </row>
    <row r="1255" spans="7:7" x14ac:dyDescent="0.3">
      <c r="G1255" s="4"/>
    </row>
    <row r="1256" spans="7:7" x14ac:dyDescent="0.3">
      <c r="G1256" s="4"/>
    </row>
    <row r="1257" spans="7:7" x14ac:dyDescent="0.3">
      <c r="G1257" s="4"/>
    </row>
    <row r="1258" spans="7:7" x14ac:dyDescent="0.3">
      <c r="G1258" s="4"/>
    </row>
    <row r="1259" spans="7:7" x14ac:dyDescent="0.3">
      <c r="G1259" s="4"/>
    </row>
    <row r="1260" spans="7:7" x14ac:dyDescent="0.3">
      <c r="G1260" s="4"/>
    </row>
    <row r="1261" spans="7:7" x14ac:dyDescent="0.3">
      <c r="G1261" s="4"/>
    </row>
    <row r="1262" spans="7:7" x14ac:dyDescent="0.3">
      <c r="G1262" s="4"/>
    </row>
    <row r="1263" spans="7:7" x14ac:dyDescent="0.3">
      <c r="G1263" s="4"/>
    </row>
    <row r="1264" spans="7:7" x14ac:dyDescent="0.3">
      <c r="G1264" s="4"/>
    </row>
    <row r="1265" spans="7:7" x14ac:dyDescent="0.3">
      <c r="G1265" s="4"/>
    </row>
    <row r="1266" spans="7:7" x14ac:dyDescent="0.3">
      <c r="G1266" s="4"/>
    </row>
    <row r="1267" spans="7:7" x14ac:dyDescent="0.3">
      <c r="G1267" s="4"/>
    </row>
    <row r="1268" spans="7:7" x14ac:dyDescent="0.3">
      <c r="G1268" s="4"/>
    </row>
    <row r="1269" spans="7:7" x14ac:dyDescent="0.3">
      <c r="G1269" s="4"/>
    </row>
    <row r="1270" spans="7:7" x14ac:dyDescent="0.3">
      <c r="G1270" s="4"/>
    </row>
    <row r="1271" spans="7:7" x14ac:dyDescent="0.3">
      <c r="G1271" s="4"/>
    </row>
    <row r="1272" spans="7:7" x14ac:dyDescent="0.3">
      <c r="G1272" s="4"/>
    </row>
    <row r="1273" spans="7:7" x14ac:dyDescent="0.3">
      <c r="G1273" s="4"/>
    </row>
    <row r="1274" spans="7:7" x14ac:dyDescent="0.3">
      <c r="G1274" s="4"/>
    </row>
    <row r="1275" spans="7:7" x14ac:dyDescent="0.3">
      <c r="G1275" s="4"/>
    </row>
    <row r="1276" spans="7:7" x14ac:dyDescent="0.3">
      <c r="G1276" s="4"/>
    </row>
    <row r="1277" spans="7:7" x14ac:dyDescent="0.3">
      <c r="G1277" s="4"/>
    </row>
    <row r="1278" spans="7:7" x14ac:dyDescent="0.3">
      <c r="G1278" s="4"/>
    </row>
    <row r="1279" spans="7:7" x14ac:dyDescent="0.3">
      <c r="G1279" s="4"/>
    </row>
    <row r="1280" spans="7:7" x14ac:dyDescent="0.3">
      <c r="G1280" s="4"/>
    </row>
    <row r="1281" spans="7:7" x14ac:dyDescent="0.3">
      <c r="G1281" s="4"/>
    </row>
    <row r="1282" spans="7:7" x14ac:dyDescent="0.3">
      <c r="G1282" s="4"/>
    </row>
    <row r="1283" spans="7:7" x14ac:dyDescent="0.3">
      <c r="G1283" s="4"/>
    </row>
    <row r="1284" spans="7:7" x14ac:dyDescent="0.3">
      <c r="G1284" s="4"/>
    </row>
    <row r="1285" spans="7:7" x14ac:dyDescent="0.3">
      <c r="G1285" s="4"/>
    </row>
    <row r="1286" spans="7:7" x14ac:dyDescent="0.3">
      <c r="G1286" s="4"/>
    </row>
    <row r="1287" spans="7:7" x14ac:dyDescent="0.3">
      <c r="G1287" s="4"/>
    </row>
    <row r="1288" spans="7:7" x14ac:dyDescent="0.3">
      <c r="G1288" s="4"/>
    </row>
    <row r="1289" spans="7:7" x14ac:dyDescent="0.3">
      <c r="G1289" s="4"/>
    </row>
    <row r="1290" spans="7:7" x14ac:dyDescent="0.3">
      <c r="G1290" s="4"/>
    </row>
    <row r="1291" spans="7:7" x14ac:dyDescent="0.3">
      <c r="G1291" s="4"/>
    </row>
    <row r="1292" spans="7:7" x14ac:dyDescent="0.3">
      <c r="G1292" s="4"/>
    </row>
    <row r="1293" spans="7:7" x14ac:dyDescent="0.3">
      <c r="G1293" s="4"/>
    </row>
    <row r="1294" spans="7:7" x14ac:dyDescent="0.3">
      <c r="G1294" s="4"/>
    </row>
    <row r="1295" spans="7:7" x14ac:dyDescent="0.3">
      <c r="G1295" s="4"/>
    </row>
    <row r="1296" spans="7:7" x14ac:dyDescent="0.3">
      <c r="G1296" s="4"/>
    </row>
    <row r="1297" spans="7:7" x14ac:dyDescent="0.3">
      <c r="G1297" s="4"/>
    </row>
    <row r="1298" spans="7:7" x14ac:dyDescent="0.3">
      <c r="G1298" s="4"/>
    </row>
    <row r="1299" spans="7:7" x14ac:dyDescent="0.3">
      <c r="G1299" s="4"/>
    </row>
    <row r="1300" spans="7:7" x14ac:dyDescent="0.3">
      <c r="G1300" s="4"/>
    </row>
    <row r="1301" spans="7:7" x14ac:dyDescent="0.3">
      <c r="G1301" s="4"/>
    </row>
    <row r="1302" spans="7:7" x14ac:dyDescent="0.3">
      <c r="G1302" s="4"/>
    </row>
    <row r="1303" spans="7:7" x14ac:dyDescent="0.3">
      <c r="G1303" s="4"/>
    </row>
    <row r="1304" spans="7:7" x14ac:dyDescent="0.3">
      <c r="G1304" s="4"/>
    </row>
    <row r="1305" spans="7:7" x14ac:dyDescent="0.3">
      <c r="G1305" s="4"/>
    </row>
    <row r="1306" spans="7:7" x14ac:dyDescent="0.3">
      <c r="G1306" s="4"/>
    </row>
    <row r="1307" spans="7:7" x14ac:dyDescent="0.3">
      <c r="G1307" s="4"/>
    </row>
    <row r="1308" spans="7:7" x14ac:dyDescent="0.3">
      <c r="G1308" s="4"/>
    </row>
    <row r="1309" spans="7:7" x14ac:dyDescent="0.3">
      <c r="G1309" s="4"/>
    </row>
    <row r="1310" spans="7:7" x14ac:dyDescent="0.3">
      <c r="G1310" s="4"/>
    </row>
    <row r="1311" spans="7:7" x14ac:dyDescent="0.3">
      <c r="G1311" s="4"/>
    </row>
    <row r="1312" spans="7:7" x14ac:dyDescent="0.3">
      <c r="G1312" s="4"/>
    </row>
    <row r="1313" spans="7:7" x14ac:dyDescent="0.3">
      <c r="G1313" s="4"/>
    </row>
    <row r="1314" spans="7:7" x14ac:dyDescent="0.3">
      <c r="G1314" s="4"/>
    </row>
    <row r="1315" spans="7:7" x14ac:dyDescent="0.3">
      <c r="G1315" s="4"/>
    </row>
    <row r="1316" spans="7:7" x14ac:dyDescent="0.3">
      <c r="G1316" s="4"/>
    </row>
    <row r="1317" spans="7:7" x14ac:dyDescent="0.3">
      <c r="G1317" s="4"/>
    </row>
    <row r="1318" spans="7:7" x14ac:dyDescent="0.3">
      <c r="G1318" s="4"/>
    </row>
    <row r="1319" spans="7:7" x14ac:dyDescent="0.3">
      <c r="G1319" s="4"/>
    </row>
    <row r="1320" spans="7:7" x14ac:dyDescent="0.3">
      <c r="G1320" s="4"/>
    </row>
    <row r="1321" spans="7:7" x14ac:dyDescent="0.3">
      <c r="G1321" s="4"/>
    </row>
    <row r="1322" spans="7:7" x14ac:dyDescent="0.3">
      <c r="G1322" s="4"/>
    </row>
    <row r="1323" spans="7:7" x14ac:dyDescent="0.3">
      <c r="G1323" s="4"/>
    </row>
    <row r="1324" spans="7:7" x14ac:dyDescent="0.3">
      <c r="G1324" s="4"/>
    </row>
    <row r="1325" spans="7:7" x14ac:dyDescent="0.3">
      <c r="G1325" s="4"/>
    </row>
    <row r="1326" spans="7:7" x14ac:dyDescent="0.3">
      <c r="G1326" s="4"/>
    </row>
    <row r="1327" spans="7:7" x14ac:dyDescent="0.3">
      <c r="G1327" s="4"/>
    </row>
    <row r="1328" spans="7:7" x14ac:dyDescent="0.3">
      <c r="G1328" s="4"/>
    </row>
    <row r="1329" spans="7:7" x14ac:dyDescent="0.3">
      <c r="G1329" s="4"/>
    </row>
    <row r="1330" spans="7:7" x14ac:dyDescent="0.3">
      <c r="G1330" s="4"/>
    </row>
    <row r="1331" spans="7:7" x14ac:dyDescent="0.3">
      <c r="G1331" s="4"/>
    </row>
    <row r="1332" spans="7:7" x14ac:dyDescent="0.3">
      <c r="G1332" s="4"/>
    </row>
    <row r="1333" spans="7:7" x14ac:dyDescent="0.3">
      <c r="G1333" s="4"/>
    </row>
    <row r="1334" spans="7:7" x14ac:dyDescent="0.3">
      <c r="G1334" s="4"/>
    </row>
    <row r="1335" spans="7:7" x14ac:dyDescent="0.3">
      <c r="G1335" s="4"/>
    </row>
    <row r="1336" spans="7:7" x14ac:dyDescent="0.3">
      <c r="G1336" s="4"/>
    </row>
    <row r="1337" spans="7:7" x14ac:dyDescent="0.3">
      <c r="G1337" s="4"/>
    </row>
    <row r="1338" spans="7:7" x14ac:dyDescent="0.3">
      <c r="G1338" s="4"/>
    </row>
    <row r="1339" spans="7:7" x14ac:dyDescent="0.3">
      <c r="G1339" s="4"/>
    </row>
    <row r="1340" spans="7:7" x14ac:dyDescent="0.3">
      <c r="G1340" s="4"/>
    </row>
    <row r="1341" spans="7:7" x14ac:dyDescent="0.3">
      <c r="G1341" s="4"/>
    </row>
    <row r="1342" spans="7:7" x14ac:dyDescent="0.3">
      <c r="G1342" s="4"/>
    </row>
    <row r="1343" spans="7:7" x14ac:dyDescent="0.3">
      <c r="G1343" s="4"/>
    </row>
    <row r="1344" spans="7:7" x14ac:dyDescent="0.3">
      <c r="G1344" s="4"/>
    </row>
    <row r="1345" spans="7:7" x14ac:dyDescent="0.3">
      <c r="G1345" s="4"/>
    </row>
    <row r="1346" spans="7:7" x14ac:dyDescent="0.3">
      <c r="G1346" s="4"/>
    </row>
    <row r="1347" spans="7:7" x14ac:dyDescent="0.3">
      <c r="G1347" s="4"/>
    </row>
    <row r="1348" spans="7:7" x14ac:dyDescent="0.3">
      <c r="G1348" s="4"/>
    </row>
    <row r="1349" spans="7:7" x14ac:dyDescent="0.3">
      <c r="G1349" s="4"/>
    </row>
    <row r="1350" spans="7:7" x14ac:dyDescent="0.3">
      <c r="G1350" s="4"/>
    </row>
    <row r="1351" spans="7:7" x14ac:dyDescent="0.3">
      <c r="G1351" s="4"/>
    </row>
    <row r="1352" spans="7:7" x14ac:dyDescent="0.3">
      <c r="G1352" s="4"/>
    </row>
    <row r="1353" spans="7:7" x14ac:dyDescent="0.3">
      <c r="G1353" s="4"/>
    </row>
    <row r="1354" spans="7:7" x14ac:dyDescent="0.3">
      <c r="G1354" s="4"/>
    </row>
    <row r="1355" spans="7:7" x14ac:dyDescent="0.3">
      <c r="G1355" s="4"/>
    </row>
    <row r="1356" spans="7:7" x14ac:dyDescent="0.3">
      <c r="G1356" s="4"/>
    </row>
    <row r="1357" spans="7:7" x14ac:dyDescent="0.3">
      <c r="G1357" s="4"/>
    </row>
    <row r="1358" spans="7:7" x14ac:dyDescent="0.3">
      <c r="G1358" s="4"/>
    </row>
    <row r="1359" spans="7:7" x14ac:dyDescent="0.3">
      <c r="G1359" s="4"/>
    </row>
    <row r="1360" spans="7:7" x14ac:dyDescent="0.3">
      <c r="G1360" s="4"/>
    </row>
    <row r="1361" spans="7:7" x14ac:dyDescent="0.3">
      <c r="G1361" s="4"/>
    </row>
    <row r="1362" spans="7:7" x14ac:dyDescent="0.3">
      <c r="G1362" s="4"/>
    </row>
    <row r="1363" spans="7:7" x14ac:dyDescent="0.3">
      <c r="G1363" s="4"/>
    </row>
    <row r="1364" spans="7:7" x14ac:dyDescent="0.3">
      <c r="G1364" s="4"/>
    </row>
    <row r="1365" spans="7:7" x14ac:dyDescent="0.3">
      <c r="G1365" s="4"/>
    </row>
    <row r="1366" spans="7:7" x14ac:dyDescent="0.3">
      <c r="G1366" s="4"/>
    </row>
    <row r="1367" spans="7:7" x14ac:dyDescent="0.3">
      <c r="G1367" s="4"/>
    </row>
    <row r="1368" spans="7:7" x14ac:dyDescent="0.3">
      <c r="G1368" s="4"/>
    </row>
    <row r="1369" spans="7:7" x14ac:dyDescent="0.3">
      <c r="G1369" s="4"/>
    </row>
    <row r="1370" spans="7:7" x14ac:dyDescent="0.3">
      <c r="G1370" s="4"/>
    </row>
    <row r="1371" spans="7:7" x14ac:dyDescent="0.3">
      <c r="G1371" s="4"/>
    </row>
    <row r="1372" spans="7:7" x14ac:dyDescent="0.3">
      <c r="G1372" s="4"/>
    </row>
    <row r="1373" spans="7:7" x14ac:dyDescent="0.3">
      <c r="G1373" s="4"/>
    </row>
    <row r="1374" spans="7:7" x14ac:dyDescent="0.3">
      <c r="G1374" s="4"/>
    </row>
    <row r="1375" spans="7:7" x14ac:dyDescent="0.3">
      <c r="G1375" s="4"/>
    </row>
    <row r="1376" spans="7:7" x14ac:dyDescent="0.3">
      <c r="G1376" s="4"/>
    </row>
    <row r="1377" spans="7:7" x14ac:dyDescent="0.3">
      <c r="G1377" s="4"/>
    </row>
    <row r="1378" spans="7:7" x14ac:dyDescent="0.3">
      <c r="G1378" s="4"/>
    </row>
    <row r="1379" spans="7:7" x14ac:dyDescent="0.3">
      <c r="G1379" s="4"/>
    </row>
    <row r="1380" spans="7:7" x14ac:dyDescent="0.3">
      <c r="G1380" s="4"/>
    </row>
    <row r="1381" spans="7:7" x14ac:dyDescent="0.3">
      <c r="G1381" s="4"/>
    </row>
    <row r="1382" spans="7:7" x14ac:dyDescent="0.3">
      <c r="G1382" s="4"/>
    </row>
    <row r="1383" spans="7:7" x14ac:dyDescent="0.3">
      <c r="G1383" s="4"/>
    </row>
    <row r="1384" spans="7:7" x14ac:dyDescent="0.3">
      <c r="G1384" s="4"/>
    </row>
    <row r="1385" spans="7:7" x14ac:dyDescent="0.3">
      <c r="G1385" s="4"/>
    </row>
    <row r="1386" spans="7:7" x14ac:dyDescent="0.3">
      <c r="G1386" s="4"/>
    </row>
    <row r="1387" spans="7:7" x14ac:dyDescent="0.3">
      <c r="G1387" s="4"/>
    </row>
    <row r="1388" spans="7:7" x14ac:dyDescent="0.3">
      <c r="G1388" s="4"/>
    </row>
    <row r="1389" spans="7:7" x14ac:dyDescent="0.3">
      <c r="G1389" s="4"/>
    </row>
    <row r="1390" spans="7:7" x14ac:dyDescent="0.3">
      <c r="G1390" s="4"/>
    </row>
    <row r="1391" spans="7:7" x14ac:dyDescent="0.3">
      <c r="G1391" s="4"/>
    </row>
    <row r="1392" spans="7:7" x14ac:dyDescent="0.3">
      <c r="G1392" s="4"/>
    </row>
    <row r="1393" spans="7:7" x14ac:dyDescent="0.3">
      <c r="G1393" s="4"/>
    </row>
    <row r="1394" spans="7:7" x14ac:dyDescent="0.3">
      <c r="G1394" s="4"/>
    </row>
    <row r="1395" spans="7:7" x14ac:dyDescent="0.3">
      <c r="G1395" s="4"/>
    </row>
    <row r="1396" spans="7:7" x14ac:dyDescent="0.3">
      <c r="G1396" s="4"/>
    </row>
    <row r="1397" spans="7:7" x14ac:dyDescent="0.3">
      <c r="G1397" s="4"/>
    </row>
    <row r="1398" spans="7:7" x14ac:dyDescent="0.3">
      <c r="G1398" s="4"/>
    </row>
    <row r="1399" spans="7:7" x14ac:dyDescent="0.3">
      <c r="G1399" s="4"/>
    </row>
    <row r="1400" spans="7:7" x14ac:dyDescent="0.3">
      <c r="G1400" s="4"/>
    </row>
    <row r="1401" spans="7:7" x14ac:dyDescent="0.3">
      <c r="G1401" s="4"/>
    </row>
    <row r="1402" spans="7:7" x14ac:dyDescent="0.3">
      <c r="G1402" s="4"/>
    </row>
    <row r="1403" spans="7:7" x14ac:dyDescent="0.3">
      <c r="G1403" s="4"/>
    </row>
    <row r="1404" spans="7:7" x14ac:dyDescent="0.3">
      <c r="G1404" s="4"/>
    </row>
    <row r="1405" spans="7:7" x14ac:dyDescent="0.3">
      <c r="G1405" s="4"/>
    </row>
    <row r="1406" spans="7:7" x14ac:dyDescent="0.3">
      <c r="G1406" s="4"/>
    </row>
    <row r="1407" spans="7:7" x14ac:dyDescent="0.3">
      <c r="G1407" s="4"/>
    </row>
    <row r="1408" spans="7:7" x14ac:dyDescent="0.3">
      <c r="G1408" s="4"/>
    </row>
    <row r="1409" spans="7:7" x14ac:dyDescent="0.3">
      <c r="G1409" s="4"/>
    </row>
    <row r="1410" spans="7:7" x14ac:dyDescent="0.3">
      <c r="G1410" s="4"/>
    </row>
    <row r="1411" spans="7:7" x14ac:dyDescent="0.3">
      <c r="G1411" s="4"/>
    </row>
    <row r="1412" spans="7:7" x14ac:dyDescent="0.3">
      <c r="G1412" s="4"/>
    </row>
    <row r="1413" spans="7:7" x14ac:dyDescent="0.3">
      <c r="G1413" s="4"/>
    </row>
    <row r="1414" spans="7:7" x14ac:dyDescent="0.3">
      <c r="G1414" s="4"/>
    </row>
    <row r="1415" spans="7:7" x14ac:dyDescent="0.3">
      <c r="G1415" s="4"/>
    </row>
    <row r="1416" spans="7:7" x14ac:dyDescent="0.3">
      <c r="G1416" s="4"/>
    </row>
    <row r="1417" spans="7:7" x14ac:dyDescent="0.3">
      <c r="G1417" s="4"/>
    </row>
    <row r="1418" spans="7:7" x14ac:dyDescent="0.3">
      <c r="G1418" s="4"/>
    </row>
    <row r="1419" spans="7:7" x14ac:dyDescent="0.3">
      <c r="G1419" s="4"/>
    </row>
    <row r="1420" spans="7:7" x14ac:dyDescent="0.3">
      <c r="G1420" s="4"/>
    </row>
    <row r="1421" spans="7:7" x14ac:dyDescent="0.3">
      <c r="G1421" s="4"/>
    </row>
    <row r="1422" spans="7:7" x14ac:dyDescent="0.3">
      <c r="G1422" s="4"/>
    </row>
    <row r="1423" spans="7:7" x14ac:dyDescent="0.3">
      <c r="G1423" s="4"/>
    </row>
    <row r="1424" spans="7:7" x14ac:dyDescent="0.3">
      <c r="G1424" s="4"/>
    </row>
    <row r="1425" spans="7:7" x14ac:dyDescent="0.3">
      <c r="G1425" s="4"/>
    </row>
    <row r="1426" spans="7:7" x14ac:dyDescent="0.3">
      <c r="G1426" s="4"/>
    </row>
    <row r="1427" spans="7:7" x14ac:dyDescent="0.3">
      <c r="G1427" s="4"/>
    </row>
    <row r="1428" spans="7:7" x14ac:dyDescent="0.3">
      <c r="G1428" s="4"/>
    </row>
    <row r="1429" spans="7:7" x14ac:dyDescent="0.3">
      <c r="G1429" s="4"/>
    </row>
    <row r="1430" spans="7:7" x14ac:dyDescent="0.3">
      <c r="G1430" s="4"/>
    </row>
    <row r="1431" spans="7:7" x14ac:dyDescent="0.3">
      <c r="G1431" s="4"/>
    </row>
    <row r="1432" spans="7:7" x14ac:dyDescent="0.3">
      <c r="G1432" s="4"/>
    </row>
    <row r="1433" spans="7:7" x14ac:dyDescent="0.3">
      <c r="G1433" s="4"/>
    </row>
    <row r="1434" spans="7:7" x14ac:dyDescent="0.3">
      <c r="G1434" s="4"/>
    </row>
    <row r="1435" spans="7:7" x14ac:dyDescent="0.3">
      <c r="G1435" s="4"/>
    </row>
    <row r="1436" spans="7:7" x14ac:dyDescent="0.3">
      <c r="G1436" s="4"/>
    </row>
    <row r="1437" spans="7:7" x14ac:dyDescent="0.3">
      <c r="G1437" s="4"/>
    </row>
    <row r="1438" spans="7:7" x14ac:dyDescent="0.3">
      <c r="G1438" s="4"/>
    </row>
    <row r="1439" spans="7:7" x14ac:dyDescent="0.3">
      <c r="G1439" s="4"/>
    </row>
    <row r="1440" spans="7:7" x14ac:dyDescent="0.3">
      <c r="G1440" s="4"/>
    </row>
    <row r="1441" spans="7:7" x14ac:dyDescent="0.3">
      <c r="G1441" s="4"/>
    </row>
    <row r="1442" spans="7:7" x14ac:dyDescent="0.3">
      <c r="G1442" s="4"/>
    </row>
    <row r="1443" spans="7:7" x14ac:dyDescent="0.3">
      <c r="G1443" s="4"/>
    </row>
    <row r="1444" spans="7:7" x14ac:dyDescent="0.3">
      <c r="G1444" s="4"/>
    </row>
    <row r="1445" spans="7:7" x14ac:dyDescent="0.3">
      <c r="G1445" s="4"/>
    </row>
    <row r="1446" spans="7:7" x14ac:dyDescent="0.3">
      <c r="G1446" s="4"/>
    </row>
    <row r="1447" spans="7:7" x14ac:dyDescent="0.3">
      <c r="G1447" s="4"/>
    </row>
    <row r="1448" spans="7:7" x14ac:dyDescent="0.3">
      <c r="G1448" s="4"/>
    </row>
    <row r="1449" spans="7:7" x14ac:dyDescent="0.3">
      <c r="G1449" s="4"/>
    </row>
    <row r="1450" spans="7:7" x14ac:dyDescent="0.3">
      <c r="G1450" s="4"/>
    </row>
    <row r="1451" spans="7:7" x14ac:dyDescent="0.3">
      <c r="G1451" s="4"/>
    </row>
    <row r="1452" spans="7:7" x14ac:dyDescent="0.3">
      <c r="G1452" s="4"/>
    </row>
    <row r="1453" spans="7:7" x14ac:dyDescent="0.3">
      <c r="G1453" s="4"/>
    </row>
    <row r="1454" spans="7:7" x14ac:dyDescent="0.3">
      <c r="G1454" s="4"/>
    </row>
    <row r="1455" spans="7:7" x14ac:dyDescent="0.3">
      <c r="G1455" s="4"/>
    </row>
    <row r="1456" spans="7:7" x14ac:dyDescent="0.3">
      <c r="G1456" s="4"/>
    </row>
    <row r="1457" spans="7:7" x14ac:dyDescent="0.3">
      <c r="G1457" s="4"/>
    </row>
    <row r="1458" spans="7:7" x14ac:dyDescent="0.3">
      <c r="G1458" s="4"/>
    </row>
    <row r="1459" spans="7:7" x14ac:dyDescent="0.3">
      <c r="G1459" s="4"/>
    </row>
    <row r="1460" spans="7:7" x14ac:dyDescent="0.3">
      <c r="G1460" s="4"/>
    </row>
    <row r="1461" spans="7:7" x14ac:dyDescent="0.3">
      <c r="G1461" s="4"/>
    </row>
    <row r="1462" spans="7:7" x14ac:dyDescent="0.3">
      <c r="G1462" s="4"/>
    </row>
    <row r="1463" spans="7:7" x14ac:dyDescent="0.3">
      <c r="G1463" s="4"/>
    </row>
    <row r="1464" spans="7:7" x14ac:dyDescent="0.3">
      <c r="G1464" s="4"/>
    </row>
    <row r="1465" spans="7:7" x14ac:dyDescent="0.3">
      <c r="G1465" s="4"/>
    </row>
    <row r="1466" spans="7:7" x14ac:dyDescent="0.3">
      <c r="G1466" s="4"/>
    </row>
    <row r="1467" spans="7:7" x14ac:dyDescent="0.3">
      <c r="G1467" s="4"/>
    </row>
    <row r="1468" spans="7:7" x14ac:dyDescent="0.3">
      <c r="G1468" s="4"/>
    </row>
    <row r="1469" spans="7:7" x14ac:dyDescent="0.3">
      <c r="G1469" s="4"/>
    </row>
    <row r="1470" spans="7:7" x14ac:dyDescent="0.3">
      <c r="G1470" s="4"/>
    </row>
    <row r="1471" spans="7:7" x14ac:dyDescent="0.3">
      <c r="G1471" s="4"/>
    </row>
    <row r="1472" spans="7:7" x14ac:dyDescent="0.3">
      <c r="G1472" s="4"/>
    </row>
    <row r="1473" spans="7:7" x14ac:dyDescent="0.3">
      <c r="G1473" s="4"/>
    </row>
    <row r="1474" spans="7:7" x14ac:dyDescent="0.3">
      <c r="G1474" s="4"/>
    </row>
    <row r="1475" spans="7:7" x14ac:dyDescent="0.3">
      <c r="G1475" s="4"/>
    </row>
    <row r="1476" spans="7:7" x14ac:dyDescent="0.3">
      <c r="G1476" s="4"/>
    </row>
    <row r="1477" spans="7:7" x14ac:dyDescent="0.3">
      <c r="G1477" s="4"/>
    </row>
    <row r="1478" spans="7:7" x14ac:dyDescent="0.3">
      <c r="G1478" s="4"/>
    </row>
    <row r="1479" spans="7:7" x14ac:dyDescent="0.3">
      <c r="G1479" s="4"/>
    </row>
    <row r="1480" spans="7:7" x14ac:dyDescent="0.3">
      <c r="G1480" s="4"/>
    </row>
    <row r="1481" spans="7:7" x14ac:dyDescent="0.3">
      <c r="G1481" s="4"/>
    </row>
    <row r="1482" spans="7:7" x14ac:dyDescent="0.3">
      <c r="G1482" s="4"/>
    </row>
    <row r="1483" spans="7:7" x14ac:dyDescent="0.3">
      <c r="G1483" s="4"/>
    </row>
    <row r="1484" spans="7:7" x14ac:dyDescent="0.3">
      <c r="G1484" s="4"/>
    </row>
    <row r="1485" spans="7:7" x14ac:dyDescent="0.3">
      <c r="G1485" s="4"/>
    </row>
    <row r="1486" spans="7:7" x14ac:dyDescent="0.3">
      <c r="G1486" s="4"/>
    </row>
    <row r="1487" spans="7:7" x14ac:dyDescent="0.3">
      <c r="G1487" s="4"/>
    </row>
    <row r="1488" spans="7:7" x14ac:dyDescent="0.3">
      <c r="G1488" s="4"/>
    </row>
    <row r="1489" spans="7:7" x14ac:dyDescent="0.3">
      <c r="G1489" s="4"/>
    </row>
    <row r="1490" spans="7:7" x14ac:dyDescent="0.3">
      <c r="G1490" s="4"/>
    </row>
    <row r="1491" spans="7:7" x14ac:dyDescent="0.3">
      <c r="G1491" s="4"/>
    </row>
    <row r="1492" spans="7:7" x14ac:dyDescent="0.3">
      <c r="G1492" s="4"/>
    </row>
    <row r="1493" spans="7:7" x14ac:dyDescent="0.3">
      <c r="G1493" s="4"/>
    </row>
    <row r="1494" spans="7:7" x14ac:dyDescent="0.3">
      <c r="G1494" s="4"/>
    </row>
    <row r="1495" spans="7:7" x14ac:dyDescent="0.3">
      <c r="G1495" s="4"/>
    </row>
    <row r="1496" spans="7:7" x14ac:dyDescent="0.3">
      <c r="G1496" s="4"/>
    </row>
    <row r="1497" spans="7:7" x14ac:dyDescent="0.3">
      <c r="G1497" s="4"/>
    </row>
    <row r="1498" spans="7:7" x14ac:dyDescent="0.3">
      <c r="G1498" s="4"/>
    </row>
    <row r="1499" spans="7:7" x14ac:dyDescent="0.3">
      <c r="G1499" s="4"/>
    </row>
    <row r="1500" spans="7:7" x14ac:dyDescent="0.3">
      <c r="G1500" s="4"/>
    </row>
    <row r="1501" spans="7:7" x14ac:dyDescent="0.3">
      <c r="G1501" s="4"/>
    </row>
    <row r="1502" spans="7:7" x14ac:dyDescent="0.3">
      <c r="G1502" s="4"/>
    </row>
    <row r="1503" spans="7:7" x14ac:dyDescent="0.3">
      <c r="G1503" s="4"/>
    </row>
    <row r="1504" spans="7:7" x14ac:dyDescent="0.3">
      <c r="G1504" s="4"/>
    </row>
    <row r="1505" spans="7:7" x14ac:dyDescent="0.3">
      <c r="G1505" s="4"/>
    </row>
    <row r="1506" spans="7:7" x14ac:dyDescent="0.3">
      <c r="G1506" s="4"/>
    </row>
    <row r="1507" spans="7:7" x14ac:dyDescent="0.3">
      <c r="G1507" s="4"/>
    </row>
    <row r="1508" spans="7:7" x14ac:dyDescent="0.3">
      <c r="G1508" s="4"/>
    </row>
    <row r="1509" spans="7:7" x14ac:dyDescent="0.3">
      <c r="G1509" s="4"/>
    </row>
    <row r="1510" spans="7:7" x14ac:dyDescent="0.3">
      <c r="G1510" s="4"/>
    </row>
    <row r="1511" spans="7:7" x14ac:dyDescent="0.3">
      <c r="G1511" s="4"/>
    </row>
    <row r="1512" spans="7:7" x14ac:dyDescent="0.3">
      <c r="G1512" s="4"/>
    </row>
    <row r="1513" spans="7:7" x14ac:dyDescent="0.3">
      <c r="G1513" s="4"/>
    </row>
    <row r="1514" spans="7:7" x14ac:dyDescent="0.3">
      <c r="G1514" s="4"/>
    </row>
    <row r="1515" spans="7:7" x14ac:dyDescent="0.3">
      <c r="G1515" s="4"/>
    </row>
    <row r="1516" spans="7:7" x14ac:dyDescent="0.3">
      <c r="G1516" s="4"/>
    </row>
    <row r="1517" spans="7:7" x14ac:dyDescent="0.3">
      <c r="G1517" s="4"/>
    </row>
    <row r="1518" spans="7:7" x14ac:dyDescent="0.3">
      <c r="G1518" s="4"/>
    </row>
    <row r="1519" spans="7:7" x14ac:dyDescent="0.3">
      <c r="G1519" s="4"/>
    </row>
    <row r="1520" spans="7:7" x14ac:dyDescent="0.3">
      <c r="G1520" s="4"/>
    </row>
    <row r="1521" spans="7:7" x14ac:dyDescent="0.3">
      <c r="G1521" s="4"/>
    </row>
    <row r="1522" spans="7:7" x14ac:dyDescent="0.3">
      <c r="G1522" s="4"/>
    </row>
    <row r="1523" spans="7:7" x14ac:dyDescent="0.3">
      <c r="G1523" s="4"/>
    </row>
    <row r="1524" spans="7:7" x14ac:dyDescent="0.3">
      <c r="G1524" s="4"/>
    </row>
    <row r="1525" spans="7:7" x14ac:dyDescent="0.3">
      <c r="G1525" s="4"/>
    </row>
    <row r="1526" spans="7:7" x14ac:dyDescent="0.3">
      <c r="G1526" s="4"/>
    </row>
    <row r="1527" spans="7:7" x14ac:dyDescent="0.3">
      <c r="G1527" s="4"/>
    </row>
    <row r="1528" spans="7:7" x14ac:dyDescent="0.3">
      <c r="G1528" s="4"/>
    </row>
    <row r="1529" spans="7:7" x14ac:dyDescent="0.3">
      <c r="G1529" s="4"/>
    </row>
    <row r="1530" spans="7:7" x14ac:dyDescent="0.3">
      <c r="G1530" s="4"/>
    </row>
    <row r="1531" spans="7:7" x14ac:dyDescent="0.3">
      <c r="G1531" s="4"/>
    </row>
    <row r="1532" spans="7:7" x14ac:dyDescent="0.3">
      <c r="G1532" s="4"/>
    </row>
    <row r="1533" spans="7:7" x14ac:dyDescent="0.3">
      <c r="G1533" s="4"/>
    </row>
    <row r="1534" spans="7:7" x14ac:dyDescent="0.3">
      <c r="G1534" s="4"/>
    </row>
    <row r="1535" spans="7:7" x14ac:dyDescent="0.3">
      <c r="G1535" s="4"/>
    </row>
    <row r="1536" spans="7:7" x14ac:dyDescent="0.3">
      <c r="G1536" s="4"/>
    </row>
    <row r="1537" spans="7:7" x14ac:dyDescent="0.3">
      <c r="G1537" s="4"/>
    </row>
    <row r="1538" spans="7:7" x14ac:dyDescent="0.3">
      <c r="G1538" s="4"/>
    </row>
    <row r="1539" spans="7:7" x14ac:dyDescent="0.3">
      <c r="G1539" s="4"/>
    </row>
    <row r="1540" spans="7:7" x14ac:dyDescent="0.3">
      <c r="G1540" s="4"/>
    </row>
    <row r="1541" spans="7:7" x14ac:dyDescent="0.3">
      <c r="G1541" s="4"/>
    </row>
    <row r="1542" spans="7:7" x14ac:dyDescent="0.3">
      <c r="G1542" s="4"/>
    </row>
    <row r="1543" spans="7:7" x14ac:dyDescent="0.3">
      <c r="G1543" s="4"/>
    </row>
    <row r="1544" spans="7:7" x14ac:dyDescent="0.3">
      <c r="G1544" s="4"/>
    </row>
    <row r="1545" spans="7:7" x14ac:dyDescent="0.3">
      <c r="G1545" s="4"/>
    </row>
    <row r="1546" spans="7:7" x14ac:dyDescent="0.3">
      <c r="G1546" s="4"/>
    </row>
    <row r="1547" spans="7:7" x14ac:dyDescent="0.3">
      <c r="G1547" s="4"/>
    </row>
    <row r="1548" spans="7:7" x14ac:dyDescent="0.3">
      <c r="G1548" s="4"/>
    </row>
    <row r="1549" spans="7:7" x14ac:dyDescent="0.3">
      <c r="G1549" s="4"/>
    </row>
    <row r="1550" spans="7:7" x14ac:dyDescent="0.3">
      <c r="G1550" s="4"/>
    </row>
    <row r="1551" spans="7:7" x14ac:dyDescent="0.3">
      <c r="G1551" s="4"/>
    </row>
    <row r="1552" spans="7:7" x14ac:dyDescent="0.3">
      <c r="G1552" s="4"/>
    </row>
    <row r="1553" spans="7:7" x14ac:dyDescent="0.3">
      <c r="G1553" s="4"/>
    </row>
    <row r="1554" spans="7:7" x14ac:dyDescent="0.3">
      <c r="G1554" s="4"/>
    </row>
    <row r="1555" spans="7:7" x14ac:dyDescent="0.3">
      <c r="G1555" s="4"/>
    </row>
    <row r="1556" spans="7:7" x14ac:dyDescent="0.3">
      <c r="G1556" s="4"/>
    </row>
    <row r="1557" spans="7:7" x14ac:dyDescent="0.3">
      <c r="G1557" s="4"/>
    </row>
    <row r="1558" spans="7:7" x14ac:dyDescent="0.3">
      <c r="G1558" s="4"/>
    </row>
    <row r="1559" spans="7:7" x14ac:dyDescent="0.3">
      <c r="G1559" s="4"/>
    </row>
    <row r="1560" spans="7:7" x14ac:dyDescent="0.3">
      <c r="G1560" s="4"/>
    </row>
    <row r="1561" spans="7:7" x14ac:dyDescent="0.3">
      <c r="G1561" s="4"/>
    </row>
    <row r="1562" spans="7:7" x14ac:dyDescent="0.3">
      <c r="G1562" s="4"/>
    </row>
    <row r="1563" spans="7:7" x14ac:dyDescent="0.3">
      <c r="G1563" s="4"/>
    </row>
    <row r="1564" spans="7:7" x14ac:dyDescent="0.3">
      <c r="G1564" s="4"/>
    </row>
    <row r="1565" spans="7:7" x14ac:dyDescent="0.3">
      <c r="G1565" s="4"/>
    </row>
    <row r="1566" spans="7:7" x14ac:dyDescent="0.3">
      <c r="G1566" s="4"/>
    </row>
    <row r="1567" spans="7:7" x14ac:dyDescent="0.3">
      <c r="G1567" s="4"/>
    </row>
    <row r="1568" spans="7:7" x14ac:dyDescent="0.3">
      <c r="G1568" s="4"/>
    </row>
    <row r="1569" spans="7:7" x14ac:dyDescent="0.3">
      <c r="G1569" s="4"/>
    </row>
    <row r="1570" spans="7:7" x14ac:dyDescent="0.3">
      <c r="G1570" s="4"/>
    </row>
    <row r="1571" spans="7:7" x14ac:dyDescent="0.3">
      <c r="G1571" s="4"/>
    </row>
    <row r="1572" spans="7:7" x14ac:dyDescent="0.3">
      <c r="G1572" s="4"/>
    </row>
    <row r="1573" spans="7:7" x14ac:dyDescent="0.3">
      <c r="G1573" s="4"/>
    </row>
    <row r="1574" spans="7:7" x14ac:dyDescent="0.3">
      <c r="G1574" s="4"/>
    </row>
    <row r="1575" spans="7:7" x14ac:dyDescent="0.3">
      <c r="G1575" s="4"/>
    </row>
    <row r="1576" spans="7:7" x14ac:dyDescent="0.3">
      <c r="G1576" s="4"/>
    </row>
    <row r="1577" spans="7:7" x14ac:dyDescent="0.3">
      <c r="G1577" s="4"/>
    </row>
    <row r="1578" spans="7:7" x14ac:dyDescent="0.3">
      <c r="G1578" s="4"/>
    </row>
    <row r="1579" spans="7:7" x14ac:dyDescent="0.3">
      <c r="G1579" s="4"/>
    </row>
    <row r="1580" spans="7:7" x14ac:dyDescent="0.3">
      <c r="G1580" s="4"/>
    </row>
    <row r="1581" spans="7:7" x14ac:dyDescent="0.3">
      <c r="G1581" s="4"/>
    </row>
    <row r="1582" spans="7:7" x14ac:dyDescent="0.3">
      <c r="G1582" s="4"/>
    </row>
    <row r="1583" spans="7:7" x14ac:dyDescent="0.3">
      <c r="G1583" s="4"/>
    </row>
    <row r="1584" spans="7:7" x14ac:dyDescent="0.3">
      <c r="G1584" s="4"/>
    </row>
    <row r="1585" spans="7:7" x14ac:dyDescent="0.3">
      <c r="G1585" s="4"/>
    </row>
    <row r="1586" spans="7:7" x14ac:dyDescent="0.3">
      <c r="G1586" s="4"/>
    </row>
    <row r="1587" spans="7:7" x14ac:dyDescent="0.3">
      <c r="G1587" s="4"/>
    </row>
    <row r="1588" spans="7:7" x14ac:dyDescent="0.3">
      <c r="G1588" s="4"/>
    </row>
    <row r="1589" spans="7:7" x14ac:dyDescent="0.3">
      <c r="G1589" s="4"/>
    </row>
    <row r="1590" spans="7:7" x14ac:dyDescent="0.3">
      <c r="G1590" s="4"/>
    </row>
    <row r="1591" spans="7:7" x14ac:dyDescent="0.3">
      <c r="G1591" s="4"/>
    </row>
    <row r="1592" spans="7:7" x14ac:dyDescent="0.3">
      <c r="G1592" s="4"/>
    </row>
    <row r="1593" spans="7:7" x14ac:dyDescent="0.3">
      <c r="G1593" s="4"/>
    </row>
    <row r="1594" spans="7:7" x14ac:dyDescent="0.3">
      <c r="G1594" s="4"/>
    </row>
    <row r="1595" spans="7:7" x14ac:dyDescent="0.3">
      <c r="G1595" s="4"/>
    </row>
    <row r="1596" spans="7:7" x14ac:dyDescent="0.3">
      <c r="G1596" s="4"/>
    </row>
    <row r="1597" spans="7:7" x14ac:dyDescent="0.3">
      <c r="G1597" s="4"/>
    </row>
    <row r="1598" spans="7:7" x14ac:dyDescent="0.3">
      <c r="G1598" s="4"/>
    </row>
    <row r="1599" spans="7:7" x14ac:dyDescent="0.3">
      <c r="G1599" s="4"/>
    </row>
    <row r="1600" spans="7:7" x14ac:dyDescent="0.3">
      <c r="G1600" s="4"/>
    </row>
    <row r="1601" spans="7:7" x14ac:dyDescent="0.3">
      <c r="G1601" s="4"/>
    </row>
    <row r="1602" spans="7:7" x14ac:dyDescent="0.3">
      <c r="G1602" s="4"/>
    </row>
    <row r="1603" spans="7:7" x14ac:dyDescent="0.3">
      <c r="G1603" s="4"/>
    </row>
    <row r="1604" spans="7:7" x14ac:dyDescent="0.3">
      <c r="G1604" s="4"/>
    </row>
    <row r="1605" spans="7:7" x14ac:dyDescent="0.3">
      <c r="G1605" s="4"/>
    </row>
    <row r="1606" spans="7:7" x14ac:dyDescent="0.3">
      <c r="G1606" s="4"/>
    </row>
    <row r="1607" spans="7:7" x14ac:dyDescent="0.3">
      <c r="G1607" s="4"/>
    </row>
    <row r="1608" spans="7:7" x14ac:dyDescent="0.3">
      <c r="G1608" s="4"/>
    </row>
    <row r="1609" spans="7:7" x14ac:dyDescent="0.3">
      <c r="G1609" s="4"/>
    </row>
    <row r="1610" spans="7:7" x14ac:dyDescent="0.3">
      <c r="G1610" s="4"/>
    </row>
    <row r="1611" spans="7:7" x14ac:dyDescent="0.3">
      <c r="G1611" s="4"/>
    </row>
    <row r="1612" spans="7:7" x14ac:dyDescent="0.3">
      <c r="G1612" s="4"/>
    </row>
    <row r="1613" spans="7:7" x14ac:dyDescent="0.3">
      <c r="G1613" s="4"/>
    </row>
    <row r="1614" spans="7:7" x14ac:dyDescent="0.3">
      <c r="G1614" s="4"/>
    </row>
    <row r="1615" spans="7:7" x14ac:dyDescent="0.3">
      <c r="G1615" s="4"/>
    </row>
    <row r="1616" spans="7:7" x14ac:dyDescent="0.3">
      <c r="G1616" s="4"/>
    </row>
    <row r="1617" spans="7:7" x14ac:dyDescent="0.3">
      <c r="G1617" s="4"/>
    </row>
    <row r="1618" spans="7:7" x14ac:dyDescent="0.3">
      <c r="G1618" s="4"/>
    </row>
    <row r="1619" spans="7:7" x14ac:dyDescent="0.3">
      <c r="G1619" s="4"/>
    </row>
    <row r="1620" spans="7:7" x14ac:dyDescent="0.3">
      <c r="G1620" s="4"/>
    </row>
    <row r="1621" spans="7:7" x14ac:dyDescent="0.3">
      <c r="G1621" s="4"/>
    </row>
    <row r="1622" spans="7:7" x14ac:dyDescent="0.3">
      <c r="G1622" s="4"/>
    </row>
    <row r="1623" spans="7:7" x14ac:dyDescent="0.3">
      <c r="G1623" s="4"/>
    </row>
    <row r="1624" spans="7:7" x14ac:dyDescent="0.3">
      <c r="G1624" s="4"/>
    </row>
    <row r="1625" spans="7:7" x14ac:dyDescent="0.3">
      <c r="G1625" s="4"/>
    </row>
    <row r="1626" spans="7:7" x14ac:dyDescent="0.3">
      <c r="G1626" s="4"/>
    </row>
    <row r="1627" spans="7:7" x14ac:dyDescent="0.3">
      <c r="G1627" s="4"/>
    </row>
    <row r="1628" spans="7:7" x14ac:dyDescent="0.3">
      <c r="G1628" s="4"/>
    </row>
    <row r="1629" spans="7:7" x14ac:dyDescent="0.3">
      <c r="G1629" s="4"/>
    </row>
    <row r="1630" spans="7:7" x14ac:dyDescent="0.3">
      <c r="G1630" s="4"/>
    </row>
    <row r="1631" spans="7:7" x14ac:dyDescent="0.3">
      <c r="G1631" s="4"/>
    </row>
    <row r="1632" spans="7:7" x14ac:dyDescent="0.3">
      <c r="G1632" s="4"/>
    </row>
    <row r="1633" spans="7:7" x14ac:dyDescent="0.3">
      <c r="G1633" s="4"/>
    </row>
    <row r="1634" spans="7:7" x14ac:dyDescent="0.3">
      <c r="G1634" s="4"/>
    </row>
    <row r="1635" spans="7:7" x14ac:dyDescent="0.3">
      <c r="G1635" s="4"/>
    </row>
    <row r="1636" spans="7:7" x14ac:dyDescent="0.3">
      <c r="G1636" s="4"/>
    </row>
    <row r="1637" spans="7:7" x14ac:dyDescent="0.3">
      <c r="G1637" s="4"/>
    </row>
    <row r="1638" spans="7:7" x14ac:dyDescent="0.3">
      <c r="G1638" s="4"/>
    </row>
    <row r="1639" spans="7:7" x14ac:dyDescent="0.3">
      <c r="G1639" s="4"/>
    </row>
    <row r="1640" spans="7:7" x14ac:dyDescent="0.3">
      <c r="G1640" s="4"/>
    </row>
    <row r="1641" spans="7:7" x14ac:dyDescent="0.3">
      <c r="G1641" s="4"/>
    </row>
    <row r="1642" spans="7:7" x14ac:dyDescent="0.3">
      <c r="G1642" s="4"/>
    </row>
    <row r="1643" spans="7:7" x14ac:dyDescent="0.3">
      <c r="G1643" s="4"/>
    </row>
    <row r="1644" spans="7:7" x14ac:dyDescent="0.3">
      <c r="G1644" s="4"/>
    </row>
    <row r="1645" spans="7:7" x14ac:dyDescent="0.3">
      <c r="G1645" s="4"/>
    </row>
    <row r="1646" spans="7:7" x14ac:dyDescent="0.3">
      <c r="G1646" s="4"/>
    </row>
    <row r="1647" spans="7:7" x14ac:dyDescent="0.3">
      <c r="G1647" s="4"/>
    </row>
    <row r="1648" spans="7:7" x14ac:dyDescent="0.3">
      <c r="G1648" s="4"/>
    </row>
    <row r="1649" spans="7:7" x14ac:dyDescent="0.3">
      <c r="G1649" s="4"/>
    </row>
    <row r="1650" spans="7:7" x14ac:dyDescent="0.3">
      <c r="G1650" s="4"/>
    </row>
    <row r="1651" spans="7:7" x14ac:dyDescent="0.3">
      <c r="G1651" s="4"/>
    </row>
    <row r="1652" spans="7:7" x14ac:dyDescent="0.3">
      <c r="G1652" s="4"/>
    </row>
    <row r="1653" spans="7:7" x14ac:dyDescent="0.3">
      <c r="G1653" s="4"/>
    </row>
    <row r="1654" spans="7:7" x14ac:dyDescent="0.3">
      <c r="G1654" s="4"/>
    </row>
    <row r="1655" spans="7:7" x14ac:dyDescent="0.3">
      <c r="G1655" s="4"/>
    </row>
    <row r="1656" spans="7:7" x14ac:dyDescent="0.3">
      <c r="G1656" s="4"/>
    </row>
    <row r="1657" spans="7:7" x14ac:dyDescent="0.3">
      <c r="G1657" s="4"/>
    </row>
    <row r="1658" spans="7:7" x14ac:dyDescent="0.3">
      <c r="G1658" s="4"/>
    </row>
    <row r="1659" spans="7:7" x14ac:dyDescent="0.3">
      <c r="G1659" s="4"/>
    </row>
    <row r="1660" spans="7:7" x14ac:dyDescent="0.3">
      <c r="G1660" s="4"/>
    </row>
    <row r="1661" spans="7:7" x14ac:dyDescent="0.3">
      <c r="G1661" s="4"/>
    </row>
    <row r="1662" spans="7:7" x14ac:dyDescent="0.3">
      <c r="G1662" s="4"/>
    </row>
    <row r="1663" spans="7:7" x14ac:dyDescent="0.3">
      <c r="G1663" s="4"/>
    </row>
    <row r="1664" spans="7:7" x14ac:dyDescent="0.3">
      <c r="G1664" s="4"/>
    </row>
    <row r="1665" spans="7:7" x14ac:dyDescent="0.3">
      <c r="G1665" s="4"/>
    </row>
    <row r="1666" spans="7:7" x14ac:dyDescent="0.3">
      <c r="G1666" s="4"/>
    </row>
    <row r="1667" spans="7:7" x14ac:dyDescent="0.3">
      <c r="G1667" s="4"/>
    </row>
    <row r="1668" spans="7:7" x14ac:dyDescent="0.3">
      <c r="G1668" s="4"/>
    </row>
    <row r="1669" spans="7:7" x14ac:dyDescent="0.3">
      <c r="G1669" s="4"/>
    </row>
    <row r="1670" spans="7:7" x14ac:dyDescent="0.3">
      <c r="G1670" s="4"/>
    </row>
    <row r="1671" spans="7:7" x14ac:dyDescent="0.3">
      <c r="G1671" s="4"/>
    </row>
    <row r="1672" spans="7:7" x14ac:dyDescent="0.3">
      <c r="G1672" s="4"/>
    </row>
    <row r="1673" spans="7:7" x14ac:dyDescent="0.3">
      <c r="G1673" s="4"/>
    </row>
    <row r="1674" spans="7:7" x14ac:dyDescent="0.3">
      <c r="G1674" s="4"/>
    </row>
    <row r="1675" spans="7:7" x14ac:dyDescent="0.3">
      <c r="G1675" s="4"/>
    </row>
    <row r="1676" spans="7:7" x14ac:dyDescent="0.3">
      <c r="G1676" s="4"/>
    </row>
    <row r="1677" spans="7:7" x14ac:dyDescent="0.3">
      <c r="G1677" s="4"/>
    </row>
    <row r="1678" spans="7:7" x14ac:dyDescent="0.3">
      <c r="G1678" s="4"/>
    </row>
    <row r="1679" spans="7:7" x14ac:dyDescent="0.3">
      <c r="G1679" s="4"/>
    </row>
    <row r="1680" spans="7:7" x14ac:dyDescent="0.3">
      <c r="G1680" s="4"/>
    </row>
    <row r="1681" spans="7:7" x14ac:dyDescent="0.3">
      <c r="G1681" s="4"/>
    </row>
    <row r="1682" spans="7:7" x14ac:dyDescent="0.3">
      <c r="G1682" s="4"/>
    </row>
    <row r="1683" spans="7:7" x14ac:dyDescent="0.3">
      <c r="G1683" s="4"/>
    </row>
    <row r="1684" spans="7:7" x14ac:dyDescent="0.3">
      <c r="G1684" s="4"/>
    </row>
    <row r="1685" spans="7:7" x14ac:dyDescent="0.3">
      <c r="G1685" s="4"/>
    </row>
    <row r="1686" spans="7:7" x14ac:dyDescent="0.3">
      <c r="G1686" s="4"/>
    </row>
    <row r="1687" spans="7:7" x14ac:dyDescent="0.3">
      <c r="G1687" s="4"/>
    </row>
    <row r="1688" spans="7:7" x14ac:dyDescent="0.3">
      <c r="G1688" s="4"/>
    </row>
    <row r="1689" spans="7:7" x14ac:dyDescent="0.3">
      <c r="G1689" s="4"/>
    </row>
    <row r="1690" spans="7:7" x14ac:dyDescent="0.3">
      <c r="G1690" s="4"/>
    </row>
    <row r="1691" spans="7:7" x14ac:dyDescent="0.3">
      <c r="G1691" s="4"/>
    </row>
    <row r="1692" spans="7:7" x14ac:dyDescent="0.3">
      <c r="G1692" s="4"/>
    </row>
    <row r="1693" spans="7:7" x14ac:dyDescent="0.3">
      <c r="G1693" s="4"/>
    </row>
    <row r="1694" spans="7:7" x14ac:dyDescent="0.3">
      <c r="G1694" s="4"/>
    </row>
    <row r="1695" spans="7:7" x14ac:dyDescent="0.3">
      <c r="G1695" s="4"/>
    </row>
    <row r="1696" spans="7:7" x14ac:dyDescent="0.3">
      <c r="G1696" s="4"/>
    </row>
    <row r="1697" spans="7:7" x14ac:dyDescent="0.3">
      <c r="G1697" s="4"/>
    </row>
    <row r="1698" spans="7:7" x14ac:dyDescent="0.3">
      <c r="G1698" s="4"/>
    </row>
    <row r="1699" spans="7:7" x14ac:dyDescent="0.3">
      <c r="G1699" s="4"/>
    </row>
    <row r="1700" spans="7:7" x14ac:dyDescent="0.3">
      <c r="G1700" s="4"/>
    </row>
    <row r="1701" spans="7:7" x14ac:dyDescent="0.3">
      <c r="G1701" s="4"/>
    </row>
    <row r="1702" spans="7:7" x14ac:dyDescent="0.3">
      <c r="G1702" s="4"/>
    </row>
    <row r="1703" spans="7:7" x14ac:dyDescent="0.3">
      <c r="G1703" s="4"/>
    </row>
    <row r="1704" spans="7:7" x14ac:dyDescent="0.3">
      <c r="G1704" s="4"/>
    </row>
    <row r="1705" spans="7:7" x14ac:dyDescent="0.3">
      <c r="G1705" s="4"/>
    </row>
    <row r="1706" spans="7:7" x14ac:dyDescent="0.3">
      <c r="G1706" s="4"/>
    </row>
    <row r="1707" spans="7:7" x14ac:dyDescent="0.3">
      <c r="G1707" s="4"/>
    </row>
    <row r="1708" spans="7:7" x14ac:dyDescent="0.3">
      <c r="G1708" s="4"/>
    </row>
    <row r="1709" spans="7:7" x14ac:dyDescent="0.3">
      <c r="G1709" s="4"/>
    </row>
    <row r="1710" spans="7:7" x14ac:dyDescent="0.3">
      <c r="G1710" s="4"/>
    </row>
    <row r="1711" spans="7:7" x14ac:dyDescent="0.3">
      <c r="G1711" s="4"/>
    </row>
    <row r="1712" spans="7:7" x14ac:dyDescent="0.3">
      <c r="G1712" s="4"/>
    </row>
    <row r="1713" spans="7:7" x14ac:dyDescent="0.3">
      <c r="G1713" s="4"/>
    </row>
    <row r="1714" spans="7:7" x14ac:dyDescent="0.3">
      <c r="G1714" s="4"/>
    </row>
    <row r="1715" spans="7:7" x14ac:dyDescent="0.3">
      <c r="G1715" s="4"/>
    </row>
    <row r="1716" spans="7:7" x14ac:dyDescent="0.3">
      <c r="G1716" s="4"/>
    </row>
    <row r="1717" spans="7:7" x14ac:dyDescent="0.3">
      <c r="G1717" s="4"/>
    </row>
    <row r="1718" spans="7:7" x14ac:dyDescent="0.3">
      <c r="G1718" s="4"/>
    </row>
    <row r="1719" spans="7:7" x14ac:dyDescent="0.3">
      <c r="G1719" s="4"/>
    </row>
    <row r="1720" spans="7:7" x14ac:dyDescent="0.3">
      <c r="G1720" s="4"/>
    </row>
    <row r="1721" spans="7:7" x14ac:dyDescent="0.3">
      <c r="G1721" s="4"/>
    </row>
    <row r="1722" spans="7:7" x14ac:dyDescent="0.3">
      <c r="G1722" s="4"/>
    </row>
    <row r="1723" spans="7:7" x14ac:dyDescent="0.3">
      <c r="G1723" s="4"/>
    </row>
    <row r="1724" spans="7:7" x14ac:dyDescent="0.3">
      <c r="G1724" s="4"/>
    </row>
    <row r="1725" spans="7:7" x14ac:dyDescent="0.3">
      <c r="G1725" s="4"/>
    </row>
    <row r="1726" spans="7:7" x14ac:dyDescent="0.3">
      <c r="G1726" s="4"/>
    </row>
    <row r="1727" spans="7:7" x14ac:dyDescent="0.3">
      <c r="G1727" s="4"/>
    </row>
    <row r="1728" spans="7:7" x14ac:dyDescent="0.3">
      <c r="G1728" s="4"/>
    </row>
    <row r="1729" spans="7:7" x14ac:dyDescent="0.3">
      <c r="G1729" s="4"/>
    </row>
    <row r="1730" spans="7:7" x14ac:dyDescent="0.3">
      <c r="G1730" s="4"/>
    </row>
    <row r="1731" spans="7:7" x14ac:dyDescent="0.3">
      <c r="G1731" s="4"/>
    </row>
    <row r="1732" spans="7:7" x14ac:dyDescent="0.3">
      <c r="G1732" s="4"/>
    </row>
    <row r="1733" spans="7:7" x14ac:dyDescent="0.3">
      <c r="G1733" s="4"/>
    </row>
    <row r="1734" spans="7:7" x14ac:dyDescent="0.3">
      <c r="G1734" s="4"/>
    </row>
    <row r="1735" spans="7:7" x14ac:dyDescent="0.3">
      <c r="G1735" s="4"/>
    </row>
    <row r="1736" spans="7:7" x14ac:dyDescent="0.3">
      <c r="G1736" s="4"/>
    </row>
    <row r="1737" spans="7:7" x14ac:dyDescent="0.3">
      <c r="G1737" s="4"/>
    </row>
    <row r="1738" spans="7:7" x14ac:dyDescent="0.3">
      <c r="G1738" s="4"/>
    </row>
    <row r="1739" spans="7:7" x14ac:dyDescent="0.3">
      <c r="G1739" s="4"/>
    </row>
    <row r="1740" spans="7:7" x14ac:dyDescent="0.3">
      <c r="G1740" s="4"/>
    </row>
    <row r="1741" spans="7:7" x14ac:dyDescent="0.3">
      <c r="G1741" s="4"/>
    </row>
    <row r="1742" spans="7:7" x14ac:dyDescent="0.3">
      <c r="G1742" s="4"/>
    </row>
    <row r="1743" spans="7:7" x14ac:dyDescent="0.3">
      <c r="G1743" s="4"/>
    </row>
    <row r="1744" spans="7:7" x14ac:dyDescent="0.3">
      <c r="G1744" s="4"/>
    </row>
    <row r="1745" spans="7:7" x14ac:dyDescent="0.3">
      <c r="G1745" s="4"/>
    </row>
    <row r="1746" spans="7:7" x14ac:dyDescent="0.3">
      <c r="G1746" s="4"/>
    </row>
    <row r="1747" spans="7:7" x14ac:dyDescent="0.3">
      <c r="G1747" s="4"/>
    </row>
    <row r="1748" spans="7:7" x14ac:dyDescent="0.3">
      <c r="G1748" s="4"/>
    </row>
    <row r="1749" spans="7:7" x14ac:dyDescent="0.3">
      <c r="G1749" s="4"/>
    </row>
    <row r="1750" spans="7:7" x14ac:dyDescent="0.3">
      <c r="G1750" s="4"/>
    </row>
    <row r="1751" spans="7:7" x14ac:dyDescent="0.3">
      <c r="G1751" s="4"/>
    </row>
    <row r="1752" spans="7:7" x14ac:dyDescent="0.3">
      <c r="G1752" s="4"/>
    </row>
    <row r="1753" spans="7:7" x14ac:dyDescent="0.3">
      <c r="G1753" s="4"/>
    </row>
    <row r="1754" spans="7:7" x14ac:dyDescent="0.3">
      <c r="G1754" s="4"/>
    </row>
    <row r="1755" spans="7:7" x14ac:dyDescent="0.3">
      <c r="G1755" s="4"/>
    </row>
    <row r="1756" spans="7:7" x14ac:dyDescent="0.3">
      <c r="G1756" s="4"/>
    </row>
    <row r="1757" spans="7:7" x14ac:dyDescent="0.3">
      <c r="G1757" s="4"/>
    </row>
    <row r="1758" spans="7:7" x14ac:dyDescent="0.3">
      <c r="G1758" s="4"/>
    </row>
    <row r="1759" spans="7:7" x14ac:dyDescent="0.3">
      <c r="G1759" s="4"/>
    </row>
    <row r="1760" spans="7:7" x14ac:dyDescent="0.3">
      <c r="G1760" s="4"/>
    </row>
    <row r="1761" spans="7:7" x14ac:dyDescent="0.3">
      <c r="G1761" s="4"/>
    </row>
    <row r="1762" spans="7:7" x14ac:dyDescent="0.3">
      <c r="G1762" s="4"/>
    </row>
    <row r="1763" spans="7:7" x14ac:dyDescent="0.3">
      <c r="G1763" s="4"/>
    </row>
    <row r="1764" spans="7:7" x14ac:dyDescent="0.3">
      <c r="G1764" s="4"/>
    </row>
    <row r="1765" spans="7:7" x14ac:dyDescent="0.3">
      <c r="G1765" s="4"/>
    </row>
    <row r="1766" spans="7:7" x14ac:dyDescent="0.3">
      <c r="G1766" s="4"/>
    </row>
    <row r="1767" spans="7:7" x14ac:dyDescent="0.3">
      <c r="G1767" s="4"/>
    </row>
    <row r="1768" spans="7:7" x14ac:dyDescent="0.3">
      <c r="G1768" s="4"/>
    </row>
    <row r="1769" spans="7:7" x14ac:dyDescent="0.3">
      <c r="G1769" s="4"/>
    </row>
    <row r="1770" spans="7:7" x14ac:dyDescent="0.3">
      <c r="G1770" s="4"/>
    </row>
    <row r="1771" spans="7:7" x14ac:dyDescent="0.3">
      <c r="G1771" s="4"/>
    </row>
    <row r="1772" spans="7:7" x14ac:dyDescent="0.3">
      <c r="G1772" s="4"/>
    </row>
    <row r="1773" spans="7:7" x14ac:dyDescent="0.3">
      <c r="G1773" s="4"/>
    </row>
    <row r="1774" spans="7:7" x14ac:dyDescent="0.3">
      <c r="G1774" s="4"/>
    </row>
    <row r="1775" spans="7:7" x14ac:dyDescent="0.3">
      <c r="G1775" s="4"/>
    </row>
    <row r="1776" spans="7:7" x14ac:dyDescent="0.3">
      <c r="G1776" s="4"/>
    </row>
    <row r="1777" spans="7:7" x14ac:dyDescent="0.3">
      <c r="G1777" s="4"/>
    </row>
    <row r="1778" spans="7:7" x14ac:dyDescent="0.3">
      <c r="G1778" s="4"/>
    </row>
    <row r="1779" spans="7:7" x14ac:dyDescent="0.3">
      <c r="G1779" s="4"/>
    </row>
    <row r="1780" spans="7:7" x14ac:dyDescent="0.3">
      <c r="G1780" s="4"/>
    </row>
    <row r="1781" spans="7:7" x14ac:dyDescent="0.3">
      <c r="G1781" s="4"/>
    </row>
    <row r="1782" spans="7:7" x14ac:dyDescent="0.3">
      <c r="G1782" s="4"/>
    </row>
    <row r="1783" spans="7:7" x14ac:dyDescent="0.3">
      <c r="G1783" s="4"/>
    </row>
    <row r="1784" spans="7:7" x14ac:dyDescent="0.3">
      <c r="G1784" s="4"/>
    </row>
    <row r="1785" spans="7:7" x14ac:dyDescent="0.3">
      <c r="G1785" s="4"/>
    </row>
    <row r="1786" spans="7:7" x14ac:dyDescent="0.3">
      <c r="G1786" s="4"/>
    </row>
    <row r="1787" spans="7:7" x14ac:dyDescent="0.3">
      <c r="G1787" s="4"/>
    </row>
    <row r="1788" spans="7:7" x14ac:dyDescent="0.3">
      <c r="G1788" s="4"/>
    </row>
    <row r="1789" spans="7:7" x14ac:dyDescent="0.3">
      <c r="G1789" s="4"/>
    </row>
    <row r="1790" spans="7:7" x14ac:dyDescent="0.3">
      <c r="G1790" s="4"/>
    </row>
    <row r="1791" spans="7:7" x14ac:dyDescent="0.3">
      <c r="G1791" s="4"/>
    </row>
    <row r="1792" spans="7:7" x14ac:dyDescent="0.3">
      <c r="G1792" s="4"/>
    </row>
    <row r="1793" spans="7:7" x14ac:dyDescent="0.3">
      <c r="G1793" s="4"/>
    </row>
    <row r="1794" spans="7:7" x14ac:dyDescent="0.3">
      <c r="G1794" s="4"/>
    </row>
    <row r="1795" spans="7:7" x14ac:dyDescent="0.3">
      <c r="G1795" s="4"/>
    </row>
    <row r="1796" spans="7:7" x14ac:dyDescent="0.3">
      <c r="G1796" s="4"/>
    </row>
    <row r="1797" spans="7:7" x14ac:dyDescent="0.3">
      <c r="G1797" s="4"/>
    </row>
    <row r="1798" spans="7:7" x14ac:dyDescent="0.3">
      <c r="G1798" s="4"/>
    </row>
    <row r="1799" spans="7:7" x14ac:dyDescent="0.3">
      <c r="G1799" s="4"/>
    </row>
    <row r="1800" spans="7:7" x14ac:dyDescent="0.3">
      <c r="G1800" s="4"/>
    </row>
    <row r="1801" spans="7:7" x14ac:dyDescent="0.3">
      <c r="G1801" s="4"/>
    </row>
    <row r="1802" spans="7:7" x14ac:dyDescent="0.3">
      <c r="G1802" s="4"/>
    </row>
    <row r="1803" spans="7:7" x14ac:dyDescent="0.3">
      <c r="G1803" s="4"/>
    </row>
    <row r="1804" spans="7:7" x14ac:dyDescent="0.3">
      <c r="G1804" s="4"/>
    </row>
    <row r="1805" spans="7:7" x14ac:dyDescent="0.3">
      <c r="G1805" s="4"/>
    </row>
    <row r="1806" spans="7:7" x14ac:dyDescent="0.3">
      <c r="G1806" s="4"/>
    </row>
    <row r="1807" spans="7:7" x14ac:dyDescent="0.3">
      <c r="G1807" s="4"/>
    </row>
    <row r="1808" spans="7:7" x14ac:dyDescent="0.3">
      <c r="G1808" s="4"/>
    </row>
    <row r="1809" spans="7:7" x14ac:dyDescent="0.3">
      <c r="G1809" s="4"/>
    </row>
    <row r="1810" spans="7:7" x14ac:dyDescent="0.3">
      <c r="G1810" s="4"/>
    </row>
    <row r="1811" spans="7:7" x14ac:dyDescent="0.3">
      <c r="G1811" s="4"/>
    </row>
    <row r="1812" spans="7:7" x14ac:dyDescent="0.3">
      <c r="G1812" s="4"/>
    </row>
    <row r="1813" spans="7:7" x14ac:dyDescent="0.3">
      <c r="G1813" s="4"/>
    </row>
    <row r="1814" spans="7:7" x14ac:dyDescent="0.3">
      <c r="G1814" s="4"/>
    </row>
    <row r="1815" spans="7:7" x14ac:dyDescent="0.3">
      <c r="G1815" s="4"/>
    </row>
    <row r="1816" spans="7:7" x14ac:dyDescent="0.3">
      <c r="G1816" s="4"/>
    </row>
    <row r="1817" spans="7:7" x14ac:dyDescent="0.3">
      <c r="G1817" s="4"/>
    </row>
    <row r="1818" spans="7:7" x14ac:dyDescent="0.3">
      <c r="G1818" s="4"/>
    </row>
    <row r="1819" spans="7:7" x14ac:dyDescent="0.3">
      <c r="G1819" s="4"/>
    </row>
    <row r="1820" spans="7:7" x14ac:dyDescent="0.3">
      <c r="G1820" s="4"/>
    </row>
    <row r="1821" spans="7:7" x14ac:dyDescent="0.3">
      <c r="G1821" s="4"/>
    </row>
    <row r="1822" spans="7:7" x14ac:dyDescent="0.3">
      <c r="G1822" s="4"/>
    </row>
    <row r="1823" spans="7:7" x14ac:dyDescent="0.3">
      <c r="G1823" s="4"/>
    </row>
    <row r="1824" spans="7:7" x14ac:dyDescent="0.3">
      <c r="G1824" s="4"/>
    </row>
    <row r="1825" spans="7:7" x14ac:dyDescent="0.3">
      <c r="G1825" s="4"/>
    </row>
    <row r="1826" spans="7:7" x14ac:dyDescent="0.3">
      <c r="G1826" s="4"/>
    </row>
    <row r="1827" spans="7:7" x14ac:dyDescent="0.3">
      <c r="G1827" s="4"/>
    </row>
    <row r="1828" spans="7:7" x14ac:dyDescent="0.3">
      <c r="G1828" s="4"/>
    </row>
    <row r="1829" spans="7:7" x14ac:dyDescent="0.3">
      <c r="G1829" s="4"/>
    </row>
    <row r="1830" spans="7:7" x14ac:dyDescent="0.3">
      <c r="G1830" s="4"/>
    </row>
    <row r="1831" spans="7:7" x14ac:dyDescent="0.3">
      <c r="G1831" s="4"/>
    </row>
    <row r="1832" spans="7:7" x14ac:dyDescent="0.3">
      <c r="G1832" s="4"/>
    </row>
    <row r="1833" spans="7:7" x14ac:dyDescent="0.3">
      <c r="G1833" s="4"/>
    </row>
    <row r="1834" spans="7:7" x14ac:dyDescent="0.3">
      <c r="G1834" s="4"/>
    </row>
    <row r="1835" spans="7:7" x14ac:dyDescent="0.3">
      <c r="G1835" s="4"/>
    </row>
    <row r="1836" spans="7:7" x14ac:dyDescent="0.3">
      <c r="G1836" s="4"/>
    </row>
    <row r="1837" spans="7:7" x14ac:dyDescent="0.3">
      <c r="G1837" s="4"/>
    </row>
    <row r="1838" spans="7:7" x14ac:dyDescent="0.3">
      <c r="G1838" s="4"/>
    </row>
    <row r="1839" spans="7:7" x14ac:dyDescent="0.3">
      <c r="G1839" s="4"/>
    </row>
    <row r="1840" spans="7:7" x14ac:dyDescent="0.3">
      <c r="G1840" s="4"/>
    </row>
    <row r="1841" spans="7:7" x14ac:dyDescent="0.3">
      <c r="G1841" s="4"/>
    </row>
    <row r="1842" spans="7:7" x14ac:dyDescent="0.3">
      <c r="G1842" s="4"/>
    </row>
    <row r="1843" spans="7:7" x14ac:dyDescent="0.3">
      <c r="G1843" s="4"/>
    </row>
    <row r="1844" spans="7:7" x14ac:dyDescent="0.3">
      <c r="G1844" s="4"/>
    </row>
    <row r="1845" spans="7:7" x14ac:dyDescent="0.3">
      <c r="G1845" s="4"/>
    </row>
    <row r="1846" spans="7:7" x14ac:dyDescent="0.3">
      <c r="G1846" s="4"/>
    </row>
    <row r="1847" spans="7:7" x14ac:dyDescent="0.3">
      <c r="G1847" s="4"/>
    </row>
    <row r="1848" spans="7:7" x14ac:dyDescent="0.3">
      <c r="G1848" s="4"/>
    </row>
    <row r="1849" spans="7:7" x14ac:dyDescent="0.3">
      <c r="G1849" s="4"/>
    </row>
    <row r="1850" spans="7:7" x14ac:dyDescent="0.3">
      <c r="G1850" s="4"/>
    </row>
    <row r="1851" spans="7:7" x14ac:dyDescent="0.3">
      <c r="G1851" s="4"/>
    </row>
    <row r="1852" spans="7:7" x14ac:dyDescent="0.3">
      <c r="G1852" s="4"/>
    </row>
    <row r="1853" spans="7:7" x14ac:dyDescent="0.3">
      <c r="G1853" s="4"/>
    </row>
    <row r="1854" spans="7:7" x14ac:dyDescent="0.3">
      <c r="G1854" s="4"/>
    </row>
    <row r="1855" spans="7:7" x14ac:dyDescent="0.3">
      <c r="G1855" s="4"/>
    </row>
    <row r="1856" spans="7:7" x14ac:dyDescent="0.3">
      <c r="G1856" s="4"/>
    </row>
    <row r="1857" spans="7:7" x14ac:dyDescent="0.3">
      <c r="G1857" s="4"/>
    </row>
    <row r="1858" spans="7:7" x14ac:dyDescent="0.3">
      <c r="G1858" s="4"/>
    </row>
    <row r="1859" spans="7:7" x14ac:dyDescent="0.3">
      <c r="G1859" s="4"/>
    </row>
    <row r="1860" spans="7:7" x14ac:dyDescent="0.3">
      <c r="G1860" s="4"/>
    </row>
    <row r="1861" spans="7:7" x14ac:dyDescent="0.3">
      <c r="G1861" s="4"/>
    </row>
    <row r="1862" spans="7:7" x14ac:dyDescent="0.3">
      <c r="G1862" s="4"/>
    </row>
    <row r="1863" spans="7:7" x14ac:dyDescent="0.3">
      <c r="G1863" s="4"/>
    </row>
    <row r="1864" spans="7:7" x14ac:dyDescent="0.3">
      <c r="G1864" s="4"/>
    </row>
    <row r="1865" spans="7:7" x14ac:dyDescent="0.3">
      <c r="G1865" s="4"/>
    </row>
    <row r="1866" spans="7:7" x14ac:dyDescent="0.3">
      <c r="G1866" s="4"/>
    </row>
    <row r="1867" spans="7:7" x14ac:dyDescent="0.3">
      <c r="G1867" s="4"/>
    </row>
    <row r="1868" spans="7:7" x14ac:dyDescent="0.3">
      <c r="G1868" s="4"/>
    </row>
    <row r="1869" spans="7:7" x14ac:dyDescent="0.3">
      <c r="G1869" s="4"/>
    </row>
    <row r="1870" spans="7:7" x14ac:dyDescent="0.3">
      <c r="G1870" s="4"/>
    </row>
    <row r="1871" spans="7:7" x14ac:dyDescent="0.3">
      <c r="G1871" s="4"/>
    </row>
    <row r="1872" spans="7:7" x14ac:dyDescent="0.3">
      <c r="G1872" s="4"/>
    </row>
    <row r="1873" spans="7:7" x14ac:dyDescent="0.3">
      <c r="G1873" s="4"/>
    </row>
    <row r="1874" spans="7:7" x14ac:dyDescent="0.3">
      <c r="G1874" s="4"/>
    </row>
    <row r="1875" spans="7:7" x14ac:dyDescent="0.3">
      <c r="G1875" s="4"/>
    </row>
    <row r="1876" spans="7:7" x14ac:dyDescent="0.3">
      <c r="G1876" s="4"/>
    </row>
    <row r="1877" spans="7:7" x14ac:dyDescent="0.3">
      <c r="G1877" s="4"/>
    </row>
    <row r="1878" spans="7:7" x14ac:dyDescent="0.3">
      <c r="G1878" s="4"/>
    </row>
    <row r="1879" spans="7:7" x14ac:dyDescent="0.3">
      <c r="G1879" s="4"/>
    </row>
    <row r="1880" spans="7:7" x14ac:dyDescent="0.3">
      <c r="G1880" s="4"/>
    </row>
    <row r="1881" spans="7:7" x14ac:dyDescent="0.3">
      <c r="G1881" s="4"/>
    </row>
    <row r="1882" spans="7:7" x14ac:dyDescent="0.3">
      <c r="G1882" s="4"/>
    </row>
    <row r="1883" spans="7:7" x14ac:dyDescent="0.3">
      <c r="G1883" s="4"/>
    </row>
    <row r="1884" spans="7:7" x14ac:dyDescent="0.3">
      <c r="G1884" s="4"/>
    </row>
    <row r="1885" spans="7:7" x14ac:dyDescent="0.3">
      <c r="G1885" s="4"/>
    </row>
    <row r="1886" spans="7:7" x14ac:dyDescent="0.3">
      <c r="G1886" s="4"/>
    </row>
    <row r="1887" spans="7:7" x14ac:dyDescent="0.3">
      <c r="G1887" s="4"/>
    </row>
    <row r="1888" spans="7:7" x14ac:dyDescent="0.3">
      <c r="G1888" s="4"/>
    </row>
    <row r="1889" spans="7:7" x14ac:dyDescent="0.3">
      <c r="G1889" s="4"/>
    </row>
    <row r="1890" spans="7:7" x14ac:dyDescent="0.3">
      <c r="G1890" s="4"/>
    </row>
    <row r="1891" spans="7:7" x14ac:dyDescent="0.3">
      <c r="G1891" s="4"/>
    </row>
    <row r="1892" spans="7:7" x14ac:dyDescent="0.3">
      <c r="G1892" s="4"/>
    </row>
    <row r="1893" spans="7:7" x14ac:dyDescent="0.3">
      <c r="G1893" s="4"/>
    </row>
    <row r="1894" spans="7:7" x14ac:dyDescent="0.3">
      <c r="G1894" s="4"/>
    </row>
    <row r="1895" spans="7:7" x14ac:dyDescent="0.3">
      <c r="G1895" s="4"/>
    </row>
    <row r="1896" spans="7:7" x14ac:dyDescent="0.3">
      <c r="G1896" s="4"/>
    </row>
    <row r="1897" spans="7:7" x14ac:dyDescent="0.3">
      <c r="G1897" s="4"/>
    </row>
    <row r="1898" spans="7:7" x14ac:dyDescent="0.3">
      <c r="G1898" s="4"/>
    </row>
    <row r="1899" spans="7:7" x14ac:dyDescent="0.3">
      <c r="G1899" s="4"/>
    </row>
    <row r="1900" spans="7:7" x14ac:dyDescent="0.3">
      <c r="G1900" s="4"/>
    </row>
    <row r="1901" spans="7:7" x14ac:dyDescent="0.3">
      <c r="G1901" s="4"/>
    </row>
    <row r="1902" spans="7:7" x14ac:dyDescent="0.3">
      <c r="G1902" s="4"/>
    </row>
    <row r="1903" spans="7:7" x14ac:dyDescent="0.3">
      <c r="G1903" s="4"/>
    </row>
    <row r="1904" spans="7:7" x14ac:dyDescent="0.3">
      <c r="G1904" s="4"/>
    </row>
    <row r="1905" spans="7:7" x14ac:dyDescent="0.3">
      <c r="G1905" s="4"/>
    </row>
    <row r="1906" spans="7:7" x14ac:dyDescent="0.3">
      <c r="G1906" s="4"/>
    </row>
    <row r="1907" spans="7:7" x14ac:dyDescent="0.3">
      <c r="G1907" s="4"/>
    </row>
    <row r="1908" spans="7:7" x14ac:dyDescent="0.3">
      <c r="G1908" s="4"/>
    </row>
    <row r="1909" spans="7:7" x14ac:dyDescent="0.3">
      <c r="G1909" s="4"/>
    </row>
    <row r="1910" spans="7:7" x14ac:dyDescent="0.3">
      <c r="G1910" s="4"/>
    </row>
    <row r="1911" spans="7:7" x14ac:dyDescent="0.3">
      <c r="G1911" s="4"/>
    </row>
    <row r="1912" spans="7:7" x14ac:dyDescent="0.3">
      <c r="G1912" s="4"/>
    </row>
    <row r="1913" spans="7:7" x14ac:dyDescent="0.3">
      <c r="G1913" s="4"/>
    </row>
    <row r="1914" spans="7:7" x14ac:dyDescent="0.3">
      <c r="G1914" s="4"/>
    </row>
    <row r="1915" spans="7:7" x14ac:dyDescent="0.3">
      <c r="G1915" s="4"/>
    </row>
    <row r="1916" spans="7:7" x14ac:dyDescent="0.3">
      <c r="G1916" s="4"/>
    </row>
    <row r="1917" spans="7:7" x14ac:dyDescent="0.3">
      <c r="G1917" s="4"/>
    </row>
    <row r="1918" spans="7:7" x14ac:dyDescent="0.3">
      <c r="G1918" s="4"/>
    </row>
    <row r="1919" spans="7:7" x14ac:dyDescent="0.3">
      <c r="G1919" s="4"/>
    </row>
    <row r="1920" spans="7:7" x14ac:dyDescent="0.3">
      <c r="G1920" s="4"/>
    </row>
    <row r="1921" spans="7:7" x14ac:dyDescent="0.3">
      <c r="G1921" s="4"/>
    </row>
    <row r="1922" spans="7:7" x14ac:dyDescent="0.3">
      <c r="G1922" s="4"/>
    </row>
    <row r="1923" spans="7:7" x14ac:dyDescent="0.3">
      <c r="G1923" s="4"/>
    </row>
    <row r="1924" spans="7:7" x14ac:dyDescent="0.3">
      <c r="G1924" s="4"/>
    </row>
    <row r="1925" spans="7:7" x14ac:dyDescent="0.3">
      <c r="G1925" s="4"/>
    </row>
    <row r="1926" spans="7:7" x14ac:dyDescent="0.3">
      <c r="G1926" s="4"/>
    </row>
    <row r="1927" spans="7:7" x14ac:dyDescent="0.3">
      <c r="G1927" s="4"/>
    </row>
    <row r="1928" spans="7:7" x14ac:dyDescent="0.3">
      <c r="G1928" s="4"/>
    </row>
    <row r="1929" spans="7:7" x14ac:dyDescent="0.3">
      <c r="G1929" s="4"/>
    </row>
    <row r="1930" spans="7:7" x14ac:dyDescent="0.3">
      <c r="G1930" s="4"/>
    </row>
    <row r="1931" spans="7:7" x14ac:dyDescent="0.3">
      <c r="G1931" s="4"/>
    </row>
    <row r="1932" spans="7:7" x14ac:dyDescent="0.3">
      <c r="G1932" s="4"/>
    </row>
    <row r="1933" spans="7:7" x14ac:dyDescent="0.3">
      <c r="G1933" s="4"/>
    </row>
    <row r="1934" spans="7:7" x14ac:dyDescent="0.3">
      <c r="G1934" s="4"/>
    </row>
    <row r="1935" spans="7:7" x14ac:dyDescent="0.3">
      <c r="G1935" s="4"/>
    </row>
    <row r="1936" spans="7:7" x14ac:dyDescent="0.3">
      <c r="G1936" s="4"/>
    </row>
    <row r="1937" spans="7:7" x14ac:dyDescent="0.3">
      <c r="G1937" s="4"/>
    </row>
    <row r="1938" spans="7:7" x14ac:dyDescent="0.3">
      <c r="G1938" s="4"/>
    </row>
    <row r="1939" spans="7:7" x14ac:dyDescent="0.3">
      <c r="G1939" s="4"/>
    </row>
    <row r="1940" spans="7:7" x14ac:dyDescent="0.3">
      <c r="G1940" s="4"/>
    </row>
    <row r="1941" spans="7:7" x14ac:dyDescent="0.3">
      <c r="G1941" s="4"/>
    </row>
    <row r="1942" spans="7:7" x14ac:dyDescent="0.3">
      <c r="G1942" s="4"/>
    </row>
    <row r="1943" spans="7:7" x14ac:dyDescent="0.3">
      <c r="G1943" s="4"/>
    </row>
    <row r="1944" spans="7:7" x14ac:dyDescent="0.3">
      <c r="G1944" s="4"/>
    </row>
    <row r="1945" spans="7:7" x14ac:dyDescent="0.3">
      <c r="G1945" s="4"/>
    </row>
    <row r="1946" spans="7:7" x14ac:dyDescent="0.3">
      <c r="G1946" s="4"/>
    </row>
    <row r="1947" spans="7:7" x14ac:dyDescent="0.3">
      <c r="G1947" s="4"/>
    </row>
    <row r="1948" spans="7:7" x14ac:dyDescent="0.3">
      <c r="G1948" s="4"/>
    </row>
    <row r="1949" spans="7:7" x14ac:dyDescent="0.3">
      <c r="G1949" s="4"/>
    </row>
    <row r="1950" spans="7:7" x14ac:dyDescent="0.3">
      <c r="G1950" s="4"/>
    </row>
    <row r="1951" spans="7:7" x14ac:dyDescent="0.3">
      <c r="G1951" s="4"/>
    </row>
    <row r="1952" spans="7:7" x14ac:dyDescent="0.3">
      <c r="G1952" s="4"/>
    </row>
    <row r="1953" spans="7:7" x14ac:dyDescent="0.3">
      <c r="G1953" s="4"/>
    </row>
    <row r="1954" spans="7:7" x14ac:dyDescent="0.3">
      <c r="G1954" s="4"/>
    </row>
    <row r="1955" spans="7:7" x14ac:dyDescent="0.3">
      <c r="G1955" s="4"/>
    </row>
    <row r="1956" spans="7:7" x14ac:dyDescent="0.3">
      <c r="G1956" s="4"/>
    </row>
    <row r="1957" spans="7:7" x14ac:dyDescent="0.3">
      <c r="G1957" s="4"/>
    </row>
    <row r="1958" spans="7:7" x14ac:dyDescent="0.3">
      <c r="G1958" s="4"/>
    </row>
    <row r="1959" spans="7:7" x14ac:dyDescent="0.3">
      <c r="G1959" s="4"/>
    </row>
    <row r="1960" spans="7:7" x14ac:dyDescent="0.3">
      <c r="G1960" s="4"/>
    </row>
    <row r="1961" spans="7:7" x14ac:dyDescent="0.3">
      <c r="G1961" s="4"/>
    </row>
    <row r="1962" spans="7:7" x14ac:dyDescent="0.3">
      <c r="G1962" s="4"/>
    </row>
    <row r="1963" spans="7:7" x14ac:dyDescent="0.3">
      <c r="G1963" s="4"/>
    </row>
    <row r="1964" spans="7:7" x14ac:dyDescent="0.3">
      <c r="G1964" s="4"/>
    </row>
    <row r="1965" spans="7:7" x14ac:dyDescent="0.3">
      <c r="G1965" s="4"/>
    </row>
    <row r="1966" spans="7:7" x14ac:dyDescent="0.3">
      <c r="G1966" s="4"/>
    </row>
    <row r="1967" spans="7:7" x14ac:dyDescent="0.3">
      <c r="G1967" s="4"/>
    </row>
    <row r="1968" spans="7:7" x14ac:dyDescent="0.3">
      <c r="G1968" s="4"/>
    </row>
    <row r="1969" spans="7:7" x14ac:dyDescent="0.3">
      <c r="G1969" s="4"/>
    </row>
    <row r="1970" spans="7:7" x14ac:dyDescent="0.3">
      <c r="G1970" s="4"/>
    </row>
    <row r="1971" spans="7:7" x14ac:dyDescent="0.3">
      <c r="G1971" s="4"/>
    </row>
    <row r="1972" spans="7:7" x14ac:dyDescent="0.3">
      <c r="G1972" s="4"/>
    </row>
    <row r="1973" spans="7:7" x14ac:dyDescent="0.3">
      <c r="G1973" s="4"/>
    </row>
    <row r="1974" spans="7:7" x14ac:dyDescent="0.3">
      <c r="G1974" s="4"/>
    </row>
    <row r="1975" spans="7:7" x14ac:dyDescent="0.3">
      <c r="G1975" s="4"/>
    </row>
    <row r="1976" spans="7:7" x14ac:dyDescent="0.3">
      <c r="G1976" s="4"/>
    </row>
    <row r="1977" spans="7:7" x14ac:dyDescent="0.3">
      <c r="G1977" s="4"/>
    </row>
    <row r="1978" spans="7:7" x14ac:dyDescent="0.3">
      <c r="G1978" s="4"/>
    </row>
    <row r="1979" spans="7:7" x14ac:dyDescent="0.3">
      <c r="G1979" s="4"/>
    </row>
    <row r="1980" spans="7:7" x14ac:dyDescent="0.3">
      <c r="G1980" s="4"/>
    </row>
    <row r="1981" spans="7:7" x14ac:dyDescent="0.3">
      <c r="G1981" s="4"/>
    </row>
    <row r="1982" spans="7:7" x14ac:dyDescent="0.3">
      <c r="G1982" s="4"/>
    </row>
    <row r="1983" spans="7:7" x14ac:dyDescent="0.3">
      <c r="G1983" s="4"/>
    </row>
    <row r="1984" spans="7:7" x14ac:dyDescent="0.3">
      <c r="G1984" s="4"/>
    </row>
    <row r="1985" spans="7:7" x14ac:dyDescent="0.3">
      <c r="G1985" s="4"/>
    </row>
    <row r="1986" spans="7:7" x14ac:dyDescent="0.3">
      <c r="G1986" s="4"/>
    </row>
    <row r="1987" spans="7:7" x14ac:dyDescent="0.3">
      <c r="G1987" s="4"/>
    </row>
    <row r="1988" spans="7:7" x14ac:dyDescent="0.3">
      <c r="G1988" s="4"/>
    </row>
    <row r="1989" spans="7:7" x14ac:dyDescent="0.3">
      <c r="G1989" s="4"/>
    </row>
    <row r="1990" spans="7:7" x14ac:dyDescent="0.3">
      <c r="G1990" s="4"/>
    </row>
    <row r="1991" spans="7:7" x14ac:dyDescent="0.3">
      <c r="G1991" s="4"/>
    </row>
    <row r="1992" spans="7:7" x14ac:dyDescent="0.3">
      <c r="G1992" s="4"/>
    </row>
    <row r="1993" spans="7:7" x14ac:dyDescent="0.3">
      <c r="G1993" s="4"/>
    </row>
    <row r="1994" spans="7:7" x14ac:dyDescent="0.3">
      <c r="G1994" s="4"/>
    </row>
    <row r="1995" spans="7:7" x14ac:dyDescent="0.3">
      <c r="G1995" s="4"/>
    </row>
    <row r="1996" spans="7:7" x14ac:dyDescent="0.3">
      <c r="G1996" s="4"/>
    </row>
    <row r="1997" spans="7:7" x14ac:dyDescent="0.3">
      <c r="G1997" s="4"/>
    </row>
    <row r="1998" spans="7:7" x14ac:dyDescent="0.3">
      <c r="G1998" s="4"/>
    </row>
    <row r="1999" spans="7:7" x14ac:dyDescent="0.3">
      <c r="G1999" s="4"/>
    </row>
    <row r="2000" spans="7:7" x14ac:dyDescent="0.3">
      <c r="G2000" s="4"/>
    </row>
    <row r="2001" spans="7:7" x14ac:dyDescent="0.3">
      <c r="G2001" s="4"/>
    </row>
    <row r="2002" spans="7:7" x14ac:dyDescent="0.3">
      <c r="G2002" s="4"/>
    </row>
    <row r="2003" spans="7:7" x14ac:dyDescent="0.3">
      <c r="G2003" s="4"/>
    </row>
    <row r="2004" spans="7:7" x14ac:dyDescent="0.3">
      <c r="G2004" s="4"/>
    </row>
    <row r="2005" spans="7:7" x14ac:dyDescent="0.3">
      <c r="G2005" s="4"/>
    </row>
    <row r="2006" spans="7:7" x14ac:dyDescent="0.3">
      <c r="G2006" s="4"/>
    </row>
    <row r="2007" spans="7:7" x14ac:dyDescent="0.3">
      <c r="G2007" s="4"/>
    </row>
    <row r="2008" spans="7:7" x14ac:dyDescent="0.3">
      <c r="G2008" s="4"/>
    </row>
    <row r="2009" spans="7:7" x14ac:dyDescent="0.3">
      <c r="G2009" s="4"/>
    </row>
    <row r="2010" spans="7:7" x14ac:dyDescent="0.3">
      <c r="G2010" s="4"/>
    </row>
    <row r="2011" spans="7:7" x14ac:dyDescent="0.3">
      <c r="G2011" s="4"/>
    </row>
    <row r="2012" spans="7:7" x14ac:dyDescent="0.3">
      <c r="G2012" s="4"/>
    </row>
    <row r="2013" spans="7:7" x14ac:dyDescent="0.3">
      <c r="G2013" s="4"/>
    </row>
    <row r="2014" spans="7:7" x14ac:dyDescent="0.3">
      <c r="G2014" s="4"/>
    </row>
    <row r="2015" spans="7:7" x14ac:dyDescent="0.3">
      <c r="G2015" s="4"/>
    </row>
    <row r="2016" spans="7:7" x14ac:dyDescent="0.3">
      <c r="G2016" s="4"/>
    </row>
    <row r="2017" spans="7:7" x14ac:dyDescent="0.3">
      <c r="G2017" s="4"/>
    </row>
    <row r="2018" spans="7:7" x14ac:dyDescent="0.3">
      <c r="G2018" s="4"/>
    </row>
    <row r="2019" spans="7:7" x14ac:dyDescent="0.3">
      <c r="G2019" s="4"/>
    </row>
    <row r="2020" spans="7:7" x14ac:dyDescent="0.3">
      <c r="G2020" s="4"/>
    </row>
    <row r="2021" spans="7:7" x14ac:dyDescent="0.3">
      <c r="G2021" s="4"/>
    </row>
    <row r="2022" spans="7:7" x14ac:dyDescent="0.3">
      <c r="G2022" s="4"/>
    </row>
    <row r="2023" spans="7:7" x14ac:dyDescent="0.3">
      <c r="G2023" s="4"/>
    </row>
    <row r="2024" spans="7:7" x14ac:dyDescent="0.3">
      <c r="G2024" s="4"/>
    </row>
    <row r="2025" spans="7:7" x14ac:dyDescent="0.3">
      <c r="G2025" s="4"/>
    </row>
    <row r="2026" spans="7:7" x14ac:dyDescent="0.3">
      <c r="G2026" s="4"/>
    </row>
    <row r="2027" spans="7:7" x14ac:dyDescent="0.3">
      <c r="G2027" s="4"/>
    </row>
    <row r="2028" spans="7:7" x14ac:dyDescent="0.3">
      <c r="G2028" s="4"/>
    </row>
    <row r="2029" spans="7:7" x14ac:dyDescent="0.3">
      <c r="G2029" s="4"/>
    </row>
    <row r="2030" spans="7:7" x14ac:dyDescent="0.3">
      <c r="G2030" s="4"/>
    </row>
    <row r="2031" spans="7:7" x14ac:dyDescent="0.3">
      <c r="G2031" s="4"/>
    </row>
    <row r="2032" spans="7:7" x14ac:dyDescent="0.3">
      <c r="G2032" s="4"/>
    </row>
    <row r="2033" spans="7:7" x14ac:dyDescent="0.3">
      <c r="G2033" s="4"/>
    </row>
    <row r="2034" spans="7:7" x14ac:dyDescent="0.3">
      <c r="G2034" s="4"/>
    </row>
    <row r="2035" spans="7:7" x14ac:dyDescent="0.3">
      <c r="G2035" s="4"/>
    </row>
    <row r="2036" spans="7:7" x14ac:dyDescent="0.3">
      <c r="G2036" s="4"/>
    </row>
    <row r="2037" spans="7:7" x14ac:dyDescent="0.3">
      <c r="G2037" s="4"/>
    </row>
    <row r="2038" spans="7:7" x14ac:dyDescent="0.3">
      <c r="G2038" s="4"/>
    </row>
    <row r="2039" spans="7:7" x14ac:dyDescent="0.3">
      <c r="G2039" s="4"/>
    </row>
    <row r="2040" spans="7:7" x14ac:dyDescent="0.3">
      <c r="G2040" s="4"/>
    </row>
    <row r="2041" spans="7:7" x14ac:dyDescent="0.3">
      <c r="G2041" s="4"/>
    </row>
    <row r="2042" spans="7:7" x14ac:dyDescent="0.3">
      <c r="G2042" s="4"/>
    </row>
    <row r="2043" spans="7:7" x14ac:dyDescent="0.3">
      <c r="G2043" s="4"/>
    </row>
    <row r="2044" spans="7:7" x14ac:dyDescent="0.3">
      <c r="G2044" s="4"/>
    </row>
    <row r="2045" spans="7:7" x14ac:dyDescent="0.3">
      <c r="G2045" s="4"/>
    </row>
    <row r="2046" spans="7:7" x14ac:dyDescent="0.3">
      <c r="G2046" s="4"/>
    </row>
    <row r="2047" spans="7:7" x14ac:dyDescent="0.3">
      <c r="G2047" s="4"/>
    </row>
    <row r="2048" spans="7:7" x14ac:dyDescent="0.3">
      <c r="G2048" s="4"/>
    </row>
    <row r="2049" spans="7:7" x14ac:dyDescent="0.3">
      <c r="G2049" s="4"/>
    </row>
    <row r="2050" spans="7:7" x14ac:dyDescent="0.3">
      <c r="G2050" s="4"/>
    </row>
    <row r="2051" spans="7:7" x14ac:dyDescent="0.3">
      <c r="G2051" s="4"/>
    </row>
    <row r="2052" spans="7:7" x14ac:dyDescent="0.3">
      <c r="G2052" s="4"/>
    </row>
    <row r="2053" spans="7:7" x14ac:dyDescent="0.3">
      <c r="G2053" s="4"/>
    </row>
    <row r="2054" spans="7:7" x14ac:dyDescent="0.3">
      <c r="G2054" s="4"/>
    </row>
    <row r="2055" spans="7:7" x14ac:dyDescent="0.3">
      <c r="G2055" s="4"/>
    </row>
    <row r="2056" spans="7:7" x14ac:dyDescent="0.3">
      <c r="G2056" s="4"/>
    </row>
    <row r="2057" spans="7:7" x14ac:dyDescent="0.3">
      <c r="G2057" s="4"/>
    </row>
    <row r="2058" spans="7:7" x14ac:dyDescent="0.3">
      <c r="G2058" s="4"/>
    </row>
    <row r="2059" spans="7:7" x14ac:dyDescent="0.3">
      <c r="G2059" s="4"/>
    </row>
    <row r="2060" spans="7:7" x14ac:dyDescent="0.3">
      <c r="G2060" s="4"/>
    </row>
    <row r="2061" spans="7:7" x14ac:dyDescent="0.3">
      <c r="G2061" s="4"/>
    </row>
    <row r="2062" spans="7:7" x14ac:dyDescent="0.3">
      <c r="G2062" s="4"/>
    </row>
    <row r="2063" spans="7:7" x14ac:dyDescent="0.3">
      <c r="G2063" s="4"/>
    </row>
    <row r="2064" spans="7:7" x14ac:dyDescent="0.3">
      <c r="G2064" s="4"/>
    </row>
    <row r="2065" spans="7:7" x14ac:dyDescent="0.3">
      <c r="G2065" s="4"/>
    </row>
    <row r="2066" spans="7:7" x14ac:dyDescent="0.3">
      <c r="G2066" s="4"/>
    </row>
    <row r="2067" spans="7:7" x14ac:dyDescent="0.3">
      <c r="G2067" s="4"/>
    </row>
    <row r="2068" spans="7:7" x14ac:dyDescent="0.3">
      <c r="G2068" s="4"/>
    </row>
    <row r="2069" spans="7:7" x14ac:dyDescent="0.3">
      <c r="G2069" s="4"/>
    </row>
    <row r="2070" spans="7:7" x14ac:dyDescent="0.3">
      <c r="G2070" s="4"/>
    </row>
    <row r="2071" spans="7:7" x14ac:dyDescent="0.3">
      <c r="G2071" s="4"/>
    </row>
    <row r="2072" spans="7:7" x14ac:dyDescent="0.3">
      <c r="G2072" s="4"/>
    </row>
    <row r="2073" spans="7:7" x14ac:dyDescent="0.3">
      <c r="G2073" s="4"/>
    </row>
    <row r="2074" spans="7:7" x14ac:dyDescent="0.3">
      <c r="G2074" s="4"/>
    </row>
    <row r="2075" spans="7:7" x14ac:dyDescent="0.3">
      <c r="G2075" s="4"/>
    </row>
    <row r="2076" spans="7:7" x14ac:dyDescent="0.3">
      <c r="G2076" s="4"/>
    </row>
    <row r="2077" spans="7:7" x14ac:dyDescent="0.3">
      <c r="G2077" s="4"/>
    </row>
    <row r="2078" spans="7:7" x14ac:dyDescent="0.3">
      <c r="G2078" s="4"/>
    </row>
    <row r="2079" spans="7:7" x14ac:dyDescent="0.3">
      <c r="G2079" s="4"/>
    </row>
    <row r="2080" spans="7:7" x14ac:dyDescent="0.3">
      <c r="G2080" s="4"/>
    </row>
    <row r="2081" spans="7:7" x14ac:dyDescent="0.3">
      <c r="G2081" s="4"/>
    </row>
    <row r="2082" spans="7:7" x14ac:dyDescent="0.3">
      <c r="G2082" s="4"/>
    </row>
    <row r="2083" spans="7:7" x14ac:dyDescent="0.3">
      <c r="G2083" s="4"/>
    </row>
    <row r="2084" spans="7:7" x14ac:dyDescent="0.3">
      <c r="G2084" s="4"/>
    </row>
    <row r="2085" spans="7:7" x14ac:dyDescent="0.3">
      <c r="G2085" s="4"/>
    </row>
    <row r="2086" spans="7:7" x14ac:dyDescent="0.3">
      <c r="G2086" s="4"/>
    </row>
    <row r="2087" spans="7:7" x14ac:dyDescent="0.3">
      <c r="G2087" s="4"/>
    </row>
    <row r="2088" spans="7:7" x14ac:dyDescent="0.3">
      <c r="G2088" s="4"/>
    </row>
    <row r="2089" spans="7:7" x14ac:dyDescent="0.3">
      <c r="G2089" s="4"/>
    </row>
    <row r="2090" spans="7:7" x14ac:dyDescent="0.3">
      <c r="G2090" s="4"/>
    </row>
    <row r="2091" spans="7:7" x14ac:dyDescent="0.3">
      <c r="G2091" s="4"/>
    </row>
    <row r="2092" spans="7:7" x14ac:dyDescent="0.3">
      <c r="G2092" s="4"/>
    </row>
    <row r="2093" spans="7:7" x14ac:dyDescent="0.3">
      <c r="G2093" s="4"/>
    </row>
    <row r="2094" spans="7:7" x14ac:dyDescent="0.3">
      <c r="G2094" s="4"/>
    </row>
    <row r="2095" spans="7:7" x14ac:dyDescent="0.3">
      <c r="G2095" s="4"/>
    </row>
    <row r="2096" spans="7:7" x14ac:dyDescent="0.3">
      <c r="G2096" s="4"/>
    </row>
    <row r="2097" spans="7:7" x14ac:dyDescent="0.3">
      <c r="G2097" s="4"/>
    </row>
    <row r="2098" spans="7:7" x14ac:dyDescent="0.3">
      <c r="G2098" s="4"/>
    </row>
    <row r="2099" spans="7:7" x14ac:dyDescent="0.3">
      <c r="G2099" s="4"/>
    </row>
    <row r="2100" spans="7:7" x14ac:dyDescent="0.3">
      <c r="G2100" s="4"/>
    </row>
    <row r="2101" spans="7:7" x14ac:dyDescent="0.3">
      <c r="G2101" s="4"/>
    </row>
    <row r="2102" spans="7:7" x14ac:dyDescent="0.3">
      <c r="G2102" s="4"/>
    </row>
    <row r="2103" spans="7:7" x14ac:dyDescent="0.3">
      <c r="G2103" s="4"/>
    </row>
    <row r="2104" spans="7:7" x14ac:dyDescent="0.3">
      <c r="G2104" s="4"/>
    </row>
    <row r="2105" spans="7:7" x14ac:dyDescent="0.3">
      <c r="G2105" s="4"/>
    </row>
    <row r="2106" spans="7:7" x14ac:dyDescent="0.3">
      <c r="G2106" s="4"/>
    </row>
    <row r="2107" spans="7:7" x14ac:dyDescent="0.3">
      <c r="G2107" s="4"/>
    </row>
    <row r="2108" spans="7:7" x14ac:dyDescent="0.3">
      <c r="G2108" s="4"/>
    </row>
    <row r="2109" spans="7:7" x14ac:dyDescent="0.3">
      <c r="G2109" s="4"/>
    </row>
    <row r="2110" spans="7:7" x14ac:dyDescent="0.3">
      <c r="G2110" s="4"/>
    </row>
    <row r="2111" spans="7:7" x14ac:dyDescent="0.3">
      <c r="G2111" s="4"/>
    </row>
    <row r="2112" spans="7:7" x14ac:dyDescent="0.3">
      <c r="G2112" s="4"/>
    </row>
    <row r="2113" spans="7:7" x14ac:dyDescent="0.3">
      <c r="G2113" s="4"/>
    </row>
    <row r="2114" spans="7:7" x14ac:dyDescent="0.3">
      <c r="G2114" s="4"/>
    </row>
    <row r="2115" spans="7:7" x14ac:dyDescent="0.3">
      <c r="G2115" s="4"/>
    </row>
    <row r="2116" spans="7:7" x14ac:dyDescent="0.3">
      <c r="G2116" s="4"/>
    </row>
    <row r="2117" spans="7:7" x14ac:dyDescent="0.3">
      <c r="G2117" s="4"/>
    </row>
    <row r="2118" spans="7:7" x14ac:dyDescent="0.3">
      <c r="G2118" s="4"/>
    </row>
    <row r="2119" spans="7:7" x14ac:dyDescent="0.3">
      <c r="G2119" s="4"/>
    </row>
    <row r="2120" spans="7:7" x14ac:dyDescent="0.3">
      <c r="G2120" s="4"/>
    </row>
    <row r="2121" spans="7:7" x14ac:dyDescent="0.3">
      <c r="G2121" s="4"/>
    </row>
    <row r="2122" spans="7:7" x14ac:dyDescent="0.3">
      <c r="G2122" s="4"/>
    </row>
    <row r="2123" spans="7:7" x14ac:dyDescent="0.3">
      <c r="G2123" s="4"/>
    </row>
    <row r="2124" spans="7:7" x14ac:dyDescent="0.3">
      <c r="G2124" s="4"/>
    </row>
    <row r="2125" spans="7:7" x14ac:dyDescent="0.3">
      <c r="G2125" s="4"/>
    </row>
    <row r="2126" spans="7:7" x14ac:dyDescent="0.3">
      <c r="G2126" s="4"/>
    </row>
    <row r="2127" spans="7:7" x14ac:dyDescent="0.3">
      <c r="G2127" s="4"/>
    </row>
    <row r="2128" spans="7:7" x14ac:dyDescent="0.3">
      <c r="G2128" s="4"/>
    </row>
    <row r="2129" spans="7:7" x14ac:dyDescent="0.3">
      <c r="G2129" s="4"/>
    </row>
    <row r="2130" spans="7:7" x14ac:dyDescent="0.3">
      <c r="G2130" s="4"/>
    </row>
    <row r="2131" spans="7:7" x14ac:dyDescent="0.3">
      <c r="G2131" s="4"/>
    </row>
    <row r="2132" spans="7:7" x14ac:dyDescent="0.3">
      <c r="G2132" s="4"/>
    </row>
    <row r="2133" spans="7:7" x14ac:dyDescent="0.3">
      <c r="G2133" s="4"/>
    </row>
    <row r="2134" spans="7:7" x14ac:dyDescent="0.3">
      <c r="G2134" s="4"/>
    </row>
    <row r="2135" spans="7:7" x14ac:dyDescent="0.3">
      <c r="G2135" s="4"/>
    </row>
    <row r="2136" spans="7:7" x14ac:dyDescent="0.3">
      <c r="G2136" s="4"/>
    </row>
    <row r="2137" spans="7:7" x14ac:dyDescent="0.3">
      <c r="G2137" s="4"/>
    </row>
    <row r="2138" spans="7:7" x14ac:dyDescent="0.3">
      <c r="G2138" s="4"/>
    </row>
    <row r="2139" spans="7:7" x14ac:dyDescent="0.3">
      <c r="G2139" s="4"/>
    </row>
    <row r="2140" spans="7:7" x14ac:dyDescent="0.3">
      <c r="G2140" s="4"/>
    </row>
    <row r="2141" spans="7:7" x14ac:dyDescent="0.3">
      <c r="G2141" s="4"/>
    </row>
    <row r="2142" spans="7:7" x14ac:dyDescent="0.3">
      <c r="G2142" s="4"/>
    </row>
    <row r="2143" spans="7:7" x14ac:dyDescent="0.3">
      <c r="G2143" s="4"/>
    </row>
    <row r="2144" spans="7:7" x14ac:dyDescent="0.3">
      <c r="G2144" s="4"/>
    </row>
    <row r="2145" spans="7:7" x14ac:dyDescent="0.3">
      <c r="G2145" s="4"/>
    </row>
    <row r="2146" spans="7:7" x14ac:dyDescent="0.3">
      <c r="G2146" s="4"/>
    </row>
    <row r="2147" spans="7:7" x14ac:dyDescent="0.3">
      <c r="G2147" s="4"/>
    </row>
    <row r="2148" spans="7:7" x14ac:dyDescent="0.3">
      <c r="G2148" s="4"/>
    </row>
    <row r="2149" spans="7:7" x14ac:dyDescent="0.3">
      <c r="G2149" s="4"/>
    </row>
    <row r="2150" spans="7:7" x14ac:dyDescent="0.3">
      <c r="G2150" s="4"/>
    </row>
    <row r="2151" spans="7:7" x14ac:dyDescent="0.3">
      <c r="G2151" s="4"/>
    </row>
    <row r="2152" spans="7:7" x14ac:dyDescent="0.3">
      <c r="G2152" s="4"/>
    </row>
    <row r="2153" spans="7:7" x14ac:dyDescent="0.3">
      <c r="G2153" s="4"/>
    </row>
    <row r="2154" spans="7:7" x14ac:dyDescent="0.3">
      <c r="G2154" s="4"/>
    </row>
    <row r="2155" spans="7:7" x14ac:dyDescent="0.3">
      <c r="G2155" s="4"/>
    </row>
    <row r="2156" spans="7:7" x14ac:dyDescent="0.3">
      <c r="G2156" s="4"/>
    </row>
    <row r="2157" spans="7:7" x14ac:dyDescent="0.3">
      <c r="G2157" s="4"/>
    </row>
    <row r="2158" spans="7:7" x14ac:dyDescent="0.3">
      <c r="G2158" s="4"/>
    </row>
    <row r="2159" spans="7:7" x14ac:dyDescent="0.3">
      <c r="G2159" s="4"/>
    </row>
    <row r="2160" spans="7:7" x14ac:dyDescent="0.3">
      <c r="G2160" s="4"/>
    </row>
    <row r="2161" spans="7:7" x14ac:dyDescent="0.3">
      <c r="G2161" s="4"/>
    </row>
    <row r="2162" spans="7:7" x14ac:dyDescent="0.3">
      <c r="G2162" s="4"/>
    </row>
    <row r="2163" spans="7:7" x14ac:dyDescent="0.3">
      <c r="G2163" s="4"/>
    </row>
    <row r="2164" spans="7:7" x14ac:dyDescent="0.3">
      <c r="G2164" s="4"/>
    </row>
    <row r="2165" spans="7:7" x14ac:dyDescent="0.3">
      <c r="G2165" s="4"/>
    </row>
    <row r="2166" spans="7:7" x14ac:dyDescent="0.3">
      <c r="G2166" s="4"/>
    </row>
    <row r="2167" spans="7:7" x14ac:dyDescent="0.3">
      <c r="G2167" s="4"/>
    </row>
    <row r="2168" spans="7:7" x14ac:dyDescent="0.3">
      <c r="G2168" s="4"/>
    </row>
    <row r="2169" spans="7:7" x14ac:dyDescent="0.3">
      <c r="G2169" s="4"/>
    </row>
    <row r="2170" spans="7:7" x14ac:dyDescent="0.3">
      <c r="G2170" s="4"/>
    </row>
    <row r="2171" spans="7:7" x14ac:dyDescent="0.3">
      <c r="G2171" s="4"/>
    </row>
    <row r="2172" spans="7:7" x14ac:dyDescent="0.3">
      <c r="G2172" s="4"/>
    </row>
    <row r="2173" spans="7:7" x14ac:dyDescent="0.3">
      <c r="G2173" s="4"/>
    </row>
    <row r="2174" spans="7:7" x14ac:dyDescent="0.3">
      <c r="G2174" s="4"/>
    </row>
    <row r="2175" spans="7:7" x14ac:dyDescent="0.3">
      <c r="G2175" s="4"/>
    </row>
    <row r="2176" spans="7:7" x14ac:dyDescent="0.3">
      <c r="G2176" s="4"/>
    </row>
    <row r="2177" spans="7:7" x14ac:dyDescent="0.3">
      <c r="G2177" s="4"/>
    </row>
    <row r="2178" spans="7:7" x14ac:dyDescent="0.3">
      <c r="G2178" s="4"/>
    </row>
    <row r="2179" spans="7:7" x14ac:dyDescent="0.3">
      <c r="G2179" s="4"/>
    </row>
    <row r="2180" spans="7:7" x14ac:dyDescent="0.3">
      <c r="G2180" s="4"/>
    </row>
    <row r="2181" spans="7:7" x14ac:dyDescent="0.3">
      <c r="G2181" s="4"/>
    </row>
    <row r="2182" spans="7:7" x14ac:dyDescent="0.3">
      <c r="G2182" s="4"/>
    </row>
    <row r="2183" spans="7:7" x14ac:dyDescent="0.3">
      <c r="G2183" s="4"/>
    </row>
    <row r="2184" spans="7:7" x14ac:dyDescent="0.3">
      <c r="G2184" s="4"/>
    </row>
    <row r="2185" spans="7:7" x14ac:dyDescent="0.3">
      <c r="G2185" s="4"/>
    </row>
    <row r="2186" spans="7:7" x14ac:dyDescent="0.3">
      <c r="G2186" s="4"/>
    </row>
    <row r="2187" spans="7:7" x14ac:dyDescent="0.3">
      <c r="G2187" s="4"/>
    </row>
    <row r="2188" spans="7:7" x14ac:dyDescent="0.3">
      <c r="G2188" s="4"/>
    </row>
    <row r="2189" spans="7:7" x14ac:dyDescent="0.3">
      <c r="G2189" s="4"/>
    </row>
    <row r="2190" spans="7:7" x14ac:dyDescent="0.3">
      <c r="G2190" s="4"/>
    </row>
    <row r="2191" spans="7:7" x14ac:dyDescent="0.3">
      <c r="G2191" s="4"/>
    </row>
    <row r="2192" spans="7:7" x14ac:dyDescent="0.3">
      <c r="G2192" s="4"/>
    </row>
    <row r="2193" spans="7:7" x14ac:dyDescent="0.3">
      <c r="G2193" s="4"/>
    </row>
    <row r="2194" spans="7:7" x14ac:dyDescent="0.3">
      <c r="G2194" s="4"/>
    </row>
    <row r="2195" spans="7:7" x14ac:dyDescent="0.3">
      <c r="G2195" s="4"/>
    </row>
    <row r="2196" spans="7:7" x14ac:dyDescent="0.3">
      <c r="G2196" s="4"/>
    </row>
    <row r="2197" spans="7:7" x14ac:dyDescent="0.3">
      <c r="G2197" s="4"/>
    </row>
    <row r="2198" spans="7:7" x14ac:dyDescent="0.3">
      <c r="G2198" s="4"/>
    </row>
    <row r="2199" spans="7:7" x14ac:dyDescent="0.3">
      <c r="G2199" s="4"/>
    </row>
    <row r="2200" spans="7:7" x14ac:dyDescent="0.3">
      <c r="G2200" s="4"/>
    </row>
    <row r="2201" spans="7:7" x14ac:dyDescent="0.3">
      <c r="G2201" s="4"/>
    </row>
    <row r="2202" spans="7:7" x14ac:dyDescent="0.3">
      <c r="G2202" s="4"/>
    </row>
    <row r="2203" spans="7:7" x14ac:dyDescent="0.3">
      <c r="G2203" s="4"/>
    </row>
    <row r="2204" spans="7:7" x14ac:dyDescent="0.3">
      <c r="G2204" s="4"/>
    </row>
    <row r="2205" spans="7:7" x14ac:dyDescent="0.3">
      <c r="G2205" s="4"/>
    </row>
    <row r="2206" spans="7:7" x14ac:dyDescent="0.3">
      <c r="G2206" s="4"/>
    </row>
    <row r="2207" spans="7:7" x14ac:dyDescent="0.3">
      <c r="G2207" s="4"/>
    </row>
    <row r="2208" spans="7:7" x14ac:dyDescent="0.3">
      <c r="G2208" s="4"/>
    </row>
    <row r="2209" spans="7:7" x14ac:dyDescent="0.3">
      <c r="G2209" s="4"/>
    </row>
    <row r="2210" spans="7:7" x14ac:dyDescent="0.3">
      <c r="G2210" s="4"/>
    </row>
    <row r="2211" spans="7:7" x14ac:dyDescent="0.3">
      <c r="G2211" s="4"/>
    </row>
    <row r="2212" spans="7:7" x14ac:dyDescent="0.3">
      <c r="G2212" s="4"/>
    </row>
    <row r="2213" spans="7:7" x14ac:dyDescent="0.3">
      <c r="G2213" s="4"/>
    </row>
    <row r="2214" spans="7:7" x14ac:dyDescent="0.3">
      <c r="G2214" s="4"/>
    </row>
    <row r="2215" spans="7:7" x14ac:dyDescent="0.3">
      <c r="G2215" s="4"/>
    </row>
    <row r="2216" spans="7:7" x14ac:dyDescent="0.3">
      <c r="G2216" s="4"/>
    </row>
    <row r="2217" spans="7:7" x14ac:dyDescent="0.3">
      <c r="G2217" s="4"/>
    </row>
    <row r="2218" spans="7:7" x14ac:dyDescent="0.3">
      <c r="G2218" s="4"/>
    </row>
    <row r="2219" spans="7:7" x14ac:dyDescent="0.3">
      <c r="G2219" s="4"/>
    </row>
    <row r="2220" spans="7:7" x14ac:dyDescent="0.3">
      <c r="G2220" s="4"/>
    </row>
    <row r="2221" spans="7:7" x14ac:dyDescent="0.3">
      <c r="G2221" s="4"/>
    </row>
    <row r="2222" spans="7:7" x14ac:dyDescent="0.3">
      <c r="G2222" s="4"/>
    </row>
    <row r="2223" spans="7:7" x14ac:dyDescent="0.3">
      <c r="G2223" s="4"/>
    </row>
    <row r="2224" spans="7:7" x14ac:dyDescent="0.3">
      <c r="G2224" s="4"/>
    </row>
    <row r="2225" spans="7:7" x14ac:dyDescent="0.3">
      <c r="G2225" s="4"/>
    </row>
    <row r="2226" spans="7:7" x14ac:dyDescent="0.3">
      <c r="G2226" s="4"/>
    </row>
    <row r="2227" spans="7:7" x14ac:dyDescent="0.3">
      <c r="G2227" s="4"/>
    </row>
    <row r="2228" spans="7:7" x14ac:dyDescent="0.3">
      <c r="G2228" s="4"/>
    </row>
    <row r="2229" spans="7:7" x14ac:dyDescent="0.3">
      <c r="G2229" s="4"/>
    </row>
    <row r="2230" spans="7:7" x14ac:dyDescent="0.3">
      <c r="G2230" s="4"/>
    </row>
    <row r="2231" spans="7:7" x14ac:dyDescent="0.3">
      <c r="G2231" s="4"/>
    </row>
    <row r="2232" spans="7:7" x14ac:dyDescent="0.3">
      <c r="G2232" s="4"/>
    </row>
    <row r="2233" spans="7:7" x14ac:dyDescent="0.3">
      <c r="G2233" s="4"/>
    </row>
    <row r="2234" spans="7:7" x14ac:dyDescent="0.3">
      <c r="G2234" s="4"/>
    </row>
    <row r="2235" spans="7:7" x14ac:dyDescent="0.3">
      <c r="G2235" s="4"/>
    </row>
    <row r="2236" spans="7:7" x14ac:dyDescent="0.3">
      <c r="G2236" s="4"/>
    </row>
    <row r="2237" spans="7:7" x14ac:dyDescent="0.3">
      <c r="G2237" s="4"/>
    </row>
    <row r="2238" spans="7:7" x14ac:dyDescent="0.3">
      <c r="G2238" s="4"/>
    </row>
    <row r="2239" spans="7:7" x14ac:dyDescent="0.3">
      <c r="G2239" s="4"/>
    </row>
    <row r="2240" spans="7:7" x14ac:dyDescent="0.3">
      <c r="G2240" s="4"/>
    </row>
    <row r="2241" spans="7:7" x14ac:dyDescent="0.3">
      <c r="G2241" s="4"/>
    </row>
    <row r="2242" spans="7:7" x14ac:dyDescent="0.3">
      <c r="G2242" s="4"/>
    </row>
    <row r="2243" spans="7:7" x14ac:dyDescent="0.3">
      <c r="G2243" s="4"/>
    </row>
    <row r="2244" spans="7:7" x14ac:dyDescent="0.3">
      <c r="G2244" s="4"/>
    </row>
    <row r="2245" spans="7:7" x14ac:dyDescent="0.3">
      <c r="G2245" s="4"/>
    </row>
    <row r="2246" spans="7:7" x14ac:dyDescent="0.3">
      <c r="G2246" s="4"/>
    </row>
    <row r="2247" spans="7:7" x14ac:dyDescent="0.3">
      <c r="G2247" s="4"/>
    </row>
    <row r="2248" spans="7:7" x14ac:dyDescent="0.3">
      <c r="G2248" s="4"/>
    </row>
    <row r="2249" spans="7:7" x14ac:dyDescent="0.3">
      <c r="G2249" s="4"/>
    </row>
    <row r="2250" spans="7:7" x14ac:dyDescent="0.3">
      <c r="G2250" s="4"/>
    </row>
    <row r="2251" spans="7:7" x14ac:dyDescent="0.3">
      <c r="G2251" s="4"/>
    </row>
    <row r="2252" spans="7:7" x14ac:dyDescent="0.3">
      <c r="G2252" s="4"/>
    </row>
    <row r="2253" spans="7:7" x14ac:dyDescent="0.3">
      <c r="G2253" s="4"/>
    </row>
    <row r="2254" spans="7:7" x14ac:dyDescent="0.3">
      <c r="G2254" s="4"/>
    </row>
    <row r="2255" spans="7:7" x14ac:dyDescent="0.3">
      <c r="G2255" s="4"/>
    </row>
    <row r="2256" spans="7:7" x14ac:dyDescent="0.3">
      <c r="G2256" s="4"/>
    </row>
    <row r="2257" spans="7:7" x14ac:dyDescent="0.3">
      <c r="G2257" s="4"/>
    </row>
    <row r="2258" spans="7:7" x14ac:dyDescent="0.3">
      <c r="G2258" s="4"/>
    </row>
    <row r="2259" spans="7:7" x14ac:dyDescent="0.3">
      <c r="G2259" s="4"/>
    </row>
    <row r="2260" spans="7:7" x14ac:dyDescent="0.3">
      <c r="G2260" s="4"/>
    </row>
    <row r="2261" spans="7:7" x14ac:dyDescent="0.3">
      <c r="G2261" s="4"/>
    </row>
    <row r="2262" spans="7:7" x14ac:dyDescent="0.3">
      <c r="G2262" s="4"/>
    </row>
    <row r="2263" spans="7:7" x14ac:dyDescent="0.3">
      <c r="G2263" s="4"/>
    </row>
    <row r="2264" spans="7:7" x14ac:dyDescent="0.3">
      <c r="G2264" s="4"/>
    </row>
    <row r="2265" spans="7:7" x14ac:dyDescent="0.3">
      <c r="G2265" s="4"/>
    </row>
    <row r="2266" spans="7:7" x14ac:dyDescent="0.3">
      <c r="G2266" s="4"/>
    </row>
    <row r="2267" spans="7:7" x14ac:dyDescent="0.3">
      <c r="G2267" s="4"/>
    </row>
    <row r="2268" spans="7:7" x14ac:dyDescent="0.3">
      <c r="G2268" s="4"/>
    </row>
    <row r="2269" spans="7:7" x14ac:dyDescent="0.3">
      <c r="G2269" s="4"/>
    </row>
    <row r="2270" spans="7:7" x14ac:dyDescent="0.3">
      <c r="G2270" s="4"/>
    </row>
    <row r="2271" spans="7:7" x14ac:dyDescent="0.3">
      <c r="G2271" s="4"/>
    </row>
    <row r="2272" spans="7:7" x14ac:dyDescent="0.3">
      <c r="G2272" s="4"/>
    </row>
    <row r="2273" spans="7:7" x14ac:dyDescent="0.3">
      <c r="G2273" s="4"/>
    </row>
    <row r="2274" spans="7:7" x14ac:dyDescent="0.3">
      <c r="G2274" s="4"/>
    </row>
    <row r="2275" spans="7:7" x14ac:dyDescent="0.3">
      <c r="G2275" s="4"/>
    </row>
    <row r="2276" spans="7:7" x14ac:dyDescent="0.3">
      <c r="G2276" s="4"/>
    </row>
    <row r="2277" spans="7:7" x14ac:dyDescent="0.3">
      <c r="G2277" s="4"/>
    </row>
    <row r="2278" spans="7:7" x14ac:dyDescent="0.3">
      <c r="G2278" s="4"/>
    </row>
    <row r="2279" spans="7:7" x14ac:dyDescent="0.3">
      <c r="G2279" s="4"/>
    </row>
    <row r="2280" spans="7:7" x14ac:dyDescent="0.3">
      <c r="G2280" s="4"/>
    </row>
    <row r="2281" spans="7:7" x14ac:dyDescent="0.3">
      <c r="G2281" s="4"/>
    </row>
    <row r="2282" spans="7:7" x14ac:dyDescent="0.3">
      <c r="G2282" s="4"/>
    </row>
    <row r="2283" spans="7:7" x14ac:dyDescent="0.3">
      <c r="G2283" s="4"/>
    </row>
    <row r="2284" spans="7:7" x14ac:dyDescent="0.3">
      <c r="G2284" s="4"/>
    </row>
    <row r="2285" spans="7:7" x14ac:dyDescent="0.3">
      <c r="G2285" s="4"/>
    </row>
    <row r="2286" spans="7:7" x14ac:dyDescent="0.3">
      <c r="G2286" s="4"/>
    </row>
    <row r="2287" spans="7:7" x14ac:dyDescent="0.3">
      <c r="G2287" s="4"/>
    </row>
    <row r="2288" spans="7:7" x14ac:dyDescent="0.3">
      <c r="G2288" s="4"/>
    </row>
    <row r="2289" spans="7:7" x14ac:dyDescent="0.3">
      <c r="G2289" s="4"/>
    </row>
    <row r="2290" spans="7:7" x14ac:dyDescent="0.3">
      <c r="G2290" s="4"/>
    </row>
    <row r="2291" spans="7:7" x14ac:dyDescent="0.3">
      <c r="G2291" s="4"/>
    </row>
    <row r="2292" spans="7:7" x14ac:dyDescent="0.3">
      <c r="G2292" s="4"/>
    </row>
    <row r="2293" spans="7:7" x14ac:dyDescent="0.3">
      <c r="G2293" s="4"/>
    </row>
    <row r="2294" spans="7:7" x14ac:dyDescent="0.3">
      <c r="G2294" s="4"/>
    </row>
    <row r="2295" spans="7:7" x14ac:dyDescent="0.3">
      <c r="G2295" s="4"/>
    </row>
    <row r="2296" spans="7:7" x14ac:dyDescent="0.3">
      <c r="G2296" s="4"/>
    </row>
    <row r="2297" spans="7:7" x14ac:dyDescent="0.3">
      <c r="G2297" s="4"/>
    </row>
    <row r="2298" spans="7:7" x14ac:dyDescent="0.3">
      <c r="G2298" s="4"/>
    </row>
    <row r="2299" spans="7:7" x14ac:dyDescent="0.3">
      <c r="G2299" s="4"/>
    </row>
    <row r="2300" spans="7:7" x14ac:dyDescent="0.3">
      <c r="G2300" s="4"/>
    </row>
    <row r="2301" spans="7:7" x14ac:dyDescent="0.3">
      <c r="G2301" s="4"/>
    </row>
    <row r="2302" spans="7:7" x14ac:dyDescent="0.3">
      <c r="G2302" s="4"/>
    </row>
    <row r="2303" spans="7:7" x14ac:dyDescent="0.3">
      <c r="G2303" s="4"/>
    </row>
    <row r="2304" spans="7:7" x14ac:dyDescent="0.3">
      <c r="G2304" s="4"/>
    </row>
    <row r="2305" spans="7:7" x14ac:dyDescent="0.3">
      <c r="G2305" s="4"/>
    </row>
    <row r="2306" spans="7:7" x14ac:dyDescent="0.3">
      <c r="G2306" s="4"/>
    </row>
    <row r="2307" spans="7:7" x14ac:dyDescent="0.3">
      <c r="G2307" s="4"/>
    </row>
    <row r="2308" spans="7:7" x14ac:dyDescent="0.3">
      <c r="G2308" s="4"/>
    </row>
    <row r="2309" spans="7:7" x14ac:dyDescent="0.3">
      <c r="G2309" s="4"/>
    </row>
    <row r="2310" spans="7:7" x14ac:dyDescent="0.3">
      <c r="G2310" s="4"/>
    </row>
    <row r="2311" spans="7:7" x14ac:dyDescent="0.3">
      <c r="G2311" s="4"/>
    </row>
    <row r="2312" spans="7:7" x14ac:dyDescent="0.3">
      <c r="G2312" s="4"/>
    </row>
    <row r="2313" spans="7:7" x14ac:dyDescent="0.3">
      <c r="G2313" s="4"/>
    </row>
    <row r="2314" spans="7:7" x14ac:dyDescent="0.3">
      <c r="G2314" s="4"/>
    </row>
    <row r="2315" spans="7:7" x14ac:dyDescent="0.3">
      <c r="G2315" s="4"/>
    </row>
    <row r="2316" spans="7:7" x14ac:dyDescent="0.3">
      <c r="G2316" s="4"/>
    </row>
    <row r="2317" spans="7:7" x14ac:dyDescent="0.3">
      <c r="G2317" s="4"/>
    </row>
    <row r="2318" spans="7:7" x14ac:dyDescent="0.3">
      <c r="G2318" s="4"/>
    </row>
    <row r="2319" spans="7:7" x14ac:dyDescent="0.3">
      <c r="G2319" s="4"/>
    </row>
    <row r="2320" spans="7:7" x14ac:dyDescent="0.3">
      <c r="G2320" s="4"/>
    </row>
    <row r="2321" spans="7:7" x14ac:dyDescent="0.3">
      <c r="G2321" s="4"/>
    </row>
    <row r="2322" spans="7:7" x14ac:dyDescent="0.3">
      <c r="G2322" s="4"/>
    </row>
    <row r="2323" spans="7:7" x14ac:dyDescent="0.3">
      <c r="G2323" s="4"/>
    </row>
    <row r="2324" spans="7:7" x14ac:dyDescent="0.3">
      <c r="G2324" s="4"/>
    </row>
    <row r="2325" spans="7:7" x14ac:dyDescent="0.3">
      <c r="G2325" s="4"/>
    </row>
    <row r="2326" spans="7:7" x14ac:dyDescent="0.3">
      <c r="G2326" s="4"/>
    </row>
    <row r="2327" spans="7:7" x14ac:dyDescent="0.3">
      <c r="G2327" s="4"/>
    </row>
    <row r="2328" spans="7:7" x14ac:dyDescent="0.3">
      <c r="G2328" s="4"/>
    </row>
    <row r="2329" spans="7:7" x14ac:dyDescent="0.3">
      <c r="G2329" s="4"/>
    </row>
    <row r="2330" spans="7:7" x14ac:dyDescent="0.3">
      <c r="G2330" s="4"/>
    </row>
    <row r="2331" spans="7:7" x14ac:dyDescent="0.3">
      <c r="G2331" s="4"/>
    </row>
    <row r="2332" spans="7:7" x14ac:dyDescent="0.3">
      <c r="G2332" s="4"/>
    </row>
    <row r="2333" spans="7:7" x14ac:dyDescent="0.3">
      <c r="G2333" s="4"/>
    </row>
    <row r="2334" spans="7:7" x14ac:dyDescent="0.3">
      <c r="G2334" s="4"/>
    </row>
    <row r="2335" spans="7:7" x14ac:dyDescent="0.3">
      <c r="G2335" s="4"/>
    </row>
    <row r="2336" spans="7:7" x14ac:dyDescent="0.3">
      <c r="G2336" s="4"/>
    </row>
    <row r="2337" spans="7:7" x14ac:dyDescent="0.3">
      <c r="G2337" s="4"/>
    </row>
    <row r="2338" spans="7:7" x14ac:dyDescent="0.3">
      <c r="G2338" s="4"/>
    </row>
    <row r="2339" spans="7:7" x14ac:dyDescent="0.3">
      <c r="G2339" s="4"/>
    </row>
    <row r="2340" spans="7:7" x14ac:dyDescent="0.3">
      <c r="G2340" s="4"/>
    </row>
    <row r="2341" spans="7:7" x14ac:dyDescent="0.3">
      <c r="G2341" s="4"/>
    </row>
    <row r="2342" spans="7:7" x14ac:dyDescent="0.3">
      <c r="G2342" s="4"/>
    </row>
    <row r="2343" spans="7:7" x14ac:dyDescent="0.3">
      <c r="G2343" s="4"/>
    </row>
    <row r="2344" spans="7:7" x14ac:dyDescent="0.3">
      <c r="G2344" s="4"/>
    </row>
    <row r="2345" spans="7:7" x14ac:dyDescent="0.3">
      <c r="G2345" s="4"/>
    </row>
    <row r="2346" spans="7:7" x14ac:dyDescent="0.3">
      <c r="G2346" s="4"/>
    </row>
    <row r="2347" spans="7:7" x14ac:dyDescent="0.3">
      <c r="G2347" s="4"/>
    </row>
    <row r="2348" spans="7:7" x14ac:dyDescent="0.3">
      <c r="G2348" s="4"/>
    </row>
    <row r="2349" spans="7:7" x14ac:dyDescent="0.3">
      <c r="G2349" s="4"/>
    </row>
    <row r="2350" spans="7:7" x14ac:dyDescent="0.3">
      <c r="G2350" s="4"/>
    </row>
    <row r="2351" spans="7:7" x14ac:dyDescent="0.3">
      <c r="G2351" s="4"/>
    </row>
    <row r="2352" spans="7:7" x14ac:dyDescent="0.3">
      <c r="G2352" s="4"/>
    </row>
    <row r="2353" spans="7:7" x14ac:dyDescent="0.3">
      <c r="G2353" s="4"/>
    </row>
    <row r="2354" spans="7:7" x14ac:dyDescent="0.3">
      <c r="G2354" s="4"/>
    </row>
    <row r="2355" spans="7:7" x14ac:dyDescent="0.3">
      <c r="G2355" s="4"/>
    </row>
    <row r="2356" spans="7:7" x14ac:dyDescent="0.3">
      <c r="G2356" s="4"/>
    </row>
    <row r="2357" spans="7:7" x14ac:dyDescent="0.3">
      <c r="G2357" s="4"/>
    </row>
    <row r="2358" spans="7:7" x14ac:dyDescent="0.3">
      <c r="G2358" s="4"/>
    </row>
    <row r="2359" spans="7:7" x14ac:dyDescent="0.3">
      <c r="G2359" s="4"/>
    </row>
    <row r="2360" spans="7:7" x14ac:dyDescent="0.3">
      <c r="G2360" s="4"/>
    </row>
    <row r="2361" spans="7:7" x14ac:dyDescent="0.3">
      <c r="G2361" s="4"/>
    </row>
    <row r="2362" spans="7:7" x14ac:dyDescent="0.3">
      <c r="G2362" s="4"/>
    </row>
    <row r="2363" spans="7:7" x14ac:dyDescent="0.3">
      <c r="G2363" s="4"/>
    </row>
    <row r="2364" spans="7:7" x14ac:dyDescent="0.3">
      <c r="G2364" s="4"/>
    </row>
    <row r="2365" spans="7:7" x14ac:dyDescent="0.3">
      <c r="G2365" s="4"/>
    </row>
    <row r="2366" spans="7:7" x14ac:dyDescent="0.3">
      <c r="G2366" s="4"/>
    </row>
    <row r="2367" spans="7:7" x14ac:dyDescent="0.3">
      <c r="G2367" s="4"/>
    </row>
    <row r="2368" spans="7:7" x14ac:dyDescent="0.3">
      <c r="G2368" s="4"/>
    </row>
    <row r="2369" spans="7:7" x14ac:dyDescent="0.3">
      <c r="G2369" s="4"/>
    </row>
    <row r="2370" spans="7:7" x14ac:dyDescent="0.3">
      <c r="G2370" s="4"/>
    </row>
    <row r="2371" spans="7:7" x14ac:dyDescent="0.3">
      <c r="G2371" s="4"/>
    </row>
    <row r="2372" spans="7:7" x14ac:dyDescent="0.3">
      <c r="G2372" s="4"/>
    </row>
    <row r="2373" spans="7:7" x14ac:dyDescent="0.3">
      <c r="G2373" s="4"/>
    </row>
    <row r="2374" spans="7:7" x14ac:dyDescent="0.3">
      <c r="G2374" s="4"/>
    </row>
    <row r="2375" spans="7:7" x14ac:dyDescent="0.3">
      <c r="G2375" s="4"/>
    </row>
    <row r="2376" spans="7:7" x14ac:dyDescent="0.3">
      <c r="G2376" s="4"/>
    </row>
    <row r="2377" spans="7:7" x14ac:dyDescent="0.3">
      <c r="G2377" s="4"/>
    </row>
    <row r="2378" spans="7:7" x14ac:dyDescent="0.3">
      <c r="G2378" s="4"/>
    </row>
    <row r="2379" spans="7:7" x14ac:dyDescent="0.3">
      <c r="G2379" s="4"/>
    </row>
    <row r="2380" spans="7:7" x14ac:dyDescent="0.3">
      <c r="G2380" s="4"/>
    </row>
    <row r="2381" spans="7:7" x14ac:dyDescent="0.3">
      <c r="G2381" s="4"/>
    </row>
    <row r="2382" spans="7:7" x14ac:dyDescent="0.3">
      <c r="G2382" s="4"/>
    </row>
    <row r="2383" spans="7:7" x14ac:dyDescent="0.3">
      <c r="G2383" s="4"/>
    </row>
    <row r="2384" spans="7:7" x14ac:dyDescent="0.3">
      <c r="G2384" s="4"/>
    </row>
    <row r="2385" spans="7:7" x14ac:dyDescent="0.3">
      <c r="G2385" s="4"/>
    </row>
    <row r="2386" spans="7:7" x14ac:dyDescent="0.3">
      <c r="G2386" s="4"/>
    </row>
    <row r="2387" spans="7:7" x14ac:dyDescent="0.3">
      <c r="G2387" s="4"/>
    </row>
    <row r="2388" spans="7:7" x14ac:dyDescent="0.3">
      <c r="G2388" s="4"/>
    </row>
    <row r="2389" spans="7:7" x14ac:dyDescent="0.3">
      <c r="G2389" s="4"/>
    </row>
    <row r="2390" spans="7:7" x14ac:dyDescent="0.3">
      <c r="G2390" s="4"/>
    </row>
    <row r="2391" spans="7:7" x14ac:dyDescent="0.3">
      <c r="G2391" s="4"/>
    </row>
    <row r="2392" spans="7:7" x14ac:dyDescent="0.3">
      <c r="G2392" s="4"/>
    </row>
    <row r="2393" spans="7:7" x14ac:dyDescent="0.3">
      <c r="G2393" s="4"/>
    </row>
    <row r="2394" spans="7:7" x14ac:dyDescent="0.3">
      <c r="G2394" s="4"/>
    </row>
    <row r="2395" spans="7:7" x14ac:dyDescent="0.3">
      <c r="G2395" s="4"/>
    </row>
    <row r="2396" spans="7:7" x14ac:dyDescent="0.3">
      <c r="G2396" s="4"/>
    </row>
    <row r="2397" spans="7:7" x14ac:dyDescent="0.3">
      <c r="G2397" s="4"/>
    </row>
    <row r="2398" spans="7:7" x14ac:dyDescent="0.3">
      <c r="G2398" s="4"/>
    </row>
    <row r="2399" spans="7:7" x14ac:dyDescent="0.3">
      <c r="G2399" s="4"/>
    </row>
    <row r="2400" spans="7:7" x14ac:dyDescent="0.3">
      <c r="G2400" s="4"/>
    </row>
    <row r="2401" spans="7:7" x14ac:dyDescent="0.3">
      <c r="G2401" s="4"/>
    </row>
    <row r="2402" spans="7:7" x14ac:dyDescent="0.3">
      <c r="G2402" s="4"/>
    </row>
    <row r="2403" spans="7:7" x14ac:dyDescent="0.3">
      <c r="G2403" s="4"/>
    </row>
    <row r="2404" spans="7:7" x14ac:dyDescent="0.3">
      <c r="G2404" s="4"/>
    </row>
    <row r="2405" spans="7:7" x14ac:dyDescent="0.3">
      <c r="G2405" s="4"/>
    </row>
    <row r="2406" spans="7:7" x14ac:dyDescent="0.3">
      <c r="G2406" s="4"/>
    </row>
    <row r="2407" spans="7:7" x14ac:dyDescent="0.3">
      <c r="G2407" s="4"/>
    </row>
    <row r="2408" spans="7:7" x14ac:dyDescent="0.3">
      <c r="G2408" s="4"/>
    </row>
    <row r="2409" spans="7:7" x14ac:dyDescent="0.3">
      <c r="G2409" s="4"/>
    </row>
    <row r="2410" spans="7:7" x14ac:dyDescent="0.3">
      <c r="G2410" s="4"/>
    </row>
    <row r="2411" spans="7:7" x14ac:dyDescent="0.3">
      <c r="G2411" s="4"/>
    </row>
    <row r="2412" spans="7:7" x14ac:dyDescent="0.3">
      <c r="G2412" s="4"/>
    </row>
    <row r="2413" spans="7:7" x14ac:dyDescent="0.3">
      <c r="G2413" s="4"/>
    </row>
    <row r="2414" spans="7:7" x14ac:dyDescent="0.3">
      <c r="G2414" s="4"/>
    </row>
    <row r="2415" spans="7:7" x14ac:dyDescent="0.3">
      <c r="G2415" s="4"/>
    </row>
    <row r="2416" spans="7:7" x14ac:dyDescent="0.3">
      <c r="G2416" s="4"/>
    </row>
    <row r="2417" spans="7:7" x14ac:dyDescent="0.3">
      <c r="G2417" s="4"/>
    </row>
    <row r="2418" spans="7:7" x14ac:dyDescent="0.3">
      <c r="G2418" s="4"/>
    </row>
    <row r="2419" spans="7:7" x14ac:dyDescent="0.3">
      <c r="G2419" s="4"/>
    </row>
    <row r="2420" spans="7:7" x14ac:dyDescent="0.3">
      <c r="G2420" s="4"/>
    </row>
    <row r="2421" spans="7:7" x14ac:dyDescent="0.3">
      <c r="G2421" s="4"/>
    </row>
    <row r="2422" spans="7:7" x14ac:dyDescent="0.3">
      <c r="G2422" s="4"/>
    </row>
    <row r="2423" spans="7:7" x14ac:dyDescent="0.3">
      <c r="G2423" s="4"/>
    </row>
    <row r="2424" spans="7:7" x14ac:dyDescent="0.3">
      <c r="G2424" s="4"/>
    </row>
    <row r="2425" spans="7:7" x14ac:dyDescent="0.3">
      <c r="G2425" s="4"/>
    </row>
    <row r="2426" spans="7:7" x14ac:dyDescent="0.3">
      <c r="G2426" s="4"/>
    </row>
    <row r="2427" spans="7:7" x14ac:dyDescent="0.3">
      <c r="G2427" s="4"/>
    </row>
    <row r="2428" spans="7:7" x14ac:dyDescent="0.3">
      <c r="G2428" s="4"/>
    </row>
    <row r="2429" spans="7:7" x14ac:dyDescent="0.3">
      <c r="G2429" s="4"/>
    </row>
    <row r="2430" spans="7:7" x14ac:dyDescent="0.3">
      <c r="G2430" s="4"/>
    </row>
    <row r="2431" spans="7:7" x14ac:dyDescent="0.3">
      <c r="G2431" s="4"/>
    </row>
    <row r="2432" spans="7:7" x14ac:dyDescent="0.3">
      <c r="G2432" s="4"/>
    </row>
    <row r="2433" spans="7:7" x14ac:dyDescent="0.3">
      <c r="G2433" s="4"/>
    </row>
    <row r="2434" spans="7:7" x14ac:dyDescent="0.3">
      <c r="G2434" s="4"/>
    </row>
    <row r="2435" spans="7:7" x14ac:dyDescent="0.3">
      <c r="G2435" s="4"/>
    </row>
    <row r="2436" spans="7:7" x14ac:dyDescent="0.3">
      <c r="G2436" s="4"/>
    </row>
    <row r="2437" spans="7:7" x14ac:dyDescent="0.3">
      <c r="G2437" s="4"/>
    </row>
    <row r="2438" spans="7:7" x14ac:dyDescent="0.3">
      <c r="G2438" s="4"/>
    </row>
    <row r="2439" spans="7:7" x14ac:dyDescent="0.3">
      <c r="G2439" s="4"/>
    </row>
    <row r="2440" spans="7:7" x14ac:dyDescent="0.3">
      <c r="G2440" s="4"/>
    </row>
    <row r="2441" spans="7:7" x14ac:dyDescent="0.3">
      <c r="G2441" s="4"/>
    </row>
    <row r="2442" spans="7:7" x14ac:dyDescent="0.3">
      <c r="G2442" s="4"/>
    </row>
    <row r="2443" spans="7:7" x14ac:dyDescent="0.3">
      <c r="G2443" s="4"/>
    </row>
    <row r="2444" spans="7:7" x14ac:dyDescent="0.3">
      <c r="G2444" s="4"/>
    </row>
    <row r="2445" spans="7:7" x14ac:dyDescent="0.3">
      <c r="G2445" s="4"/>
    </row>
    <row r="2446" spans="7:7" x14ac:dyDescent="0.3">
      <c r="G2446" s="4"/>
    </row>
    <row r="2447" spans="7:7" x14ac:dyDescent="0.3">
      <c r="G2447" s="4"/>
    </row>
    <row r="2448" spans="7:7" x14ac:dyDescent="0.3">
      <c r="G2448" s="4"/>
    </row>
    <row r="2449" spans="7:7" x14ac:dyDescent="0.3">
      <c r="G2449" s="4"/>
    </row>
    <row r="2450" spans="7:7" x14ac:dyDescent="0.3">
      <c r="G2450" s="4"/>
    </row>
    <row r="2451" spans="7:7" x14ac:dyDescent="0.3">
      <c r="G2451" s="4"/>
    </row>
    <row r="2452" spans="7:7" x14ac:dyDescent="0.3">
      <c r="G2452" s="4"/>
    </row>
    <row r="2453" spans="7:7" x14ac:dyDescent="0.3">
      <c r="G2453" s="4"/>
    </row>
    <row r="2454" spans="7:7" x14ac:dyDescent="0.3">
      <c r="G2454" s="4"/>
    </row>
    <row r="2455" spans="7:7" x14ac:dyDescent="0.3">
      <c r="G2455" s="4"/>
    </row>
    <row r="2456" spans="7:7" x14ac:dyDescent="0.3">
      <c r="G2456" s="4"/>
    </row>
    <row r="2457" spans="7:7" x14ac:dyDescent="0.3">
      <c r="G2457" s="4"/>
    </row>
    <row r="2458" spans="7:7" x14ac:dyDescent="0.3">
      <c r="G2458" s="4"/>
    </row>
    <row r="2459" spans="7:7" x14ac:dyDescent="0.3">
      <c r="G2459" s="4"/>
    </row>
    <row r="2460" spans="7:7" x14ac:dyDescent="0.3">
      <c r="G2460" s="4"/>
    </row>
    <row r="2461" spans="7:7" x14ac:dyDescent="0.3">
      <c r="G2461" s="4"/>
    </row>
    <row r="2462" spans="7:7" x14ac:dyDescent="0.3">
      <c r="G2462" s="4"/>
    </row>
    <row r="2463" spans="7:7" x14ac:dyDescent="0.3">
      <c r="G2463" s="4"/>
    </row>
    <row r="2464" spans="7:7" x14ac:dyDescent="0.3">
      <c r="G2464" s="4"/>
    </row>
    <row r="2465" spans="7:7" x14ac:dyDescent="0.3">
      <c r="G2465" s="4"/>
    </row>
    <row r="2466" spans="7:7" x14ac:dyDescent="0.3">
      <c r="G2466" s="4"/>
    </row>
    <row r="2467" spans="7:7" x14ac:dyDescent="0.3">
      <c r="G2467" s="4"/>
    </row>
    <row r="2468" spans="7:7" x14ac:dyDescent="0.3">
      <c r="G2468" s="4"/>
    </row>
    <row r="2469" spans="7:7" x14ac:dyDescent="0.3">
      <c r="G2469" s="4"/>
    </row>
    <row r="2470" spans="7:7" x14ac:dyDescent="0.3">
      <c r="G2470" s="4"/>
    </row>
    <row r="2471" spans="7:7" x14ac:dyDescent="0.3">
      <c r="G2471" s="4"/>
    </row>
    <row r="2472" spans="7:7" x14ac:dyDescent="0.3">
      <c r="G2472" s="4"/>
    </row>
    <row r="2473" spans="7:7" x14ac:dyDescent="0.3">
      <c r="G2473" s="4"/>
    </row>
    <row r="2474" spans="7:7" x14ac:dyDescent="0.3">
      <c r="G2474" s="4"/>
    </row>
    <row r="2475" spans="7:7" x14ac:dyDescent="0.3">
      <c r="G2475" s="4"/>
    </row>
    <row r="2476" spans="7:7" x14ac:dyDescent="0.3">
      <c r="G2476" s="4"/>
    </row>
    <row r="2477" spans="7:7" x14ac:dyDescent="0.3">
      <c r="G2477" s="4"/>
    </row>
    <row r="2478" spans="7:7" x14ac:dyDescent="0.3">
      <c r="G2478" s="4"/>
    </row>
    <row r="2479" spans="7:7" x14ac:dyDescent="0.3">
      <c r="G2479" s="4"/>
    </row>
    <row r="2480" spans="7:7" x14ac:dyDescent="0.3">
      <c r="G2480" s="4"/>
    </row>
    <row r="2481" spans="7:7" x14ac:dyDescent="0.3">
      <c r="G2481" s="4"/>
    </row>
    <row r="2482" spans="7:7" x14ac:dyDescent="0.3">
      <c r="G2482" s="4"/>
    </row>
    <row r="2483" spans="7:7" x14ac:dyDescent="0.3">
      <c r="G2483" s="4"/>
    </row>
    <row r="2484" spans="7:7" x14ac:dyDescent="0.3">
      <c r="G2484" s="4"/>
    </row>
    <row r="2485" spans="7:7" x14ac:dyDescent="0.3">
      <c r="G2485" s="4"/>
    </row>
    <row r="2486" spans="7:7" x14ac:dyDescent="0.3">
      <c r="G2486" s="4"/>
    </row>
    <row r="2487" spans="7:7" x14ac:dyDescent="0.3">
      <c r="G2487" s="4"/>
    </row>
    <row r="2488" spans="7:7" x14ac:dyDescent="0.3">
      <c r="G2488" s="4"/>
    </row>
    <row r="2489" spans="7:7" x14ac:dyDescent="0.3">
      <c r="G2489" s="4"/>
    </row>
    <row r="2490" spans="7:7" x14ac:dyDescent="0.3">
      <c r="G2490" s="4"/>
    </row>
    <row r="2491" spans="7:7" x14ac:dyDescent="0.3">
      <c r="G2491" s="4"/>
    </row>
    <row r="2492" spans="7:7" x14ac:dyDescent="0.3">
      <c r="G2492" s="4"/>
    </row>
    <row r="2493" spans="7:7" x14ac:dyDescent="0.3">
      <c r="G2493" s="4"/>
    </row>
    <row r="2494" spans="7:7" x14ac:dyDescent="0.3">
      <c r="G2494" s="4"/>
    </row>
    <row r="2495" spans="7:7" x14ac:dyDescent="0.3">
      <c r="G2495" s="4"/>
    </row>
    <row r="2496" spans="7:7" x14ac:dyDescent="0.3">
      <c r="G2496" s="4"/>
    </row>
    <row r="2497" spans="7:7" x14ac:dyDescent="0.3">
      <c r="G2497" s="4"/>
    </row>
    <row r="2498" spans="7:7" x14ac:dyDescent="0.3">
      <c r="G2498" s="4"/>
    </row>
    <row r="2499" spans="7:7" x14ac:dyDescent="0.3">
      <c r="G2499" s="4"/>
    </row>
    <row r="2500" spans="7:7" x14ac:dyDescent="0.3">
      <c r="G2500" s="4"/>
    </row>
    <row r="2501" spans="7:7" x14ac:dyDescent="0.3">
      <c r="G2501" s="4"/>
    </row>
    <row r="2502" spans="7:7" x14ac:dyDescent="0.3">
      <c r="G2502" s="4"/>
    </row>
    <row r="2503" spans="7:7" x14ac:dyDescent="0.3">
      <c r="G2503" s="4"/>
    </row>
    <row r="2504" spans="7:7" x14ac:dyDescent="0.3">
      <c r="G2504" s="4"/>
    </row>
    <row r="2505" spans="7:7" x14ac:dyDescent="0.3">
      <c r="G2505" s="4"/>
    </row>
    <row r="2506" spans="7:7" x14ac:dyDescent="0.3">
      <c r="G2506" s="4"/>
    </row>
    <row r="2507" spans="7:7" x14ac:dyDescent="0.3">
      <c r="G2507" s="4"/>
    </row>
    <row r="2508" spans="7:7" x14ac:dyDescent="0.3">
      <c r="G2508" s="4"/>
    </row>
    <row r="2509" spans="7:7" x14ac:dyDescent="0.3">
      <c r="G2509" s="4"/>
    </row>
    <row r="2510" spans="7:7" x14ac:dyDescent="0.3">
      <c r="G2510" s="4"/>
    </row>
    <row r="2511" spans="7:7" x14ac:dyDescent="0.3">
      <c r="G2511" s="4"/>
    </row>
    <row r="2512" spans="7:7" x14ac:dyDescent="0.3">
      <c r="G2512" s="4"/>
    </row>
    <row r="2513" spans="7:7" x14ac:dyDescent="0.3">
      <c r="G2513" s="4"/>
    </row>
    <row r="2514" spans="7:7" x14ac:dyDescent="0.3">
      <c r="G2514" s="4"/>
    </row>
    <row r="2515" spans="7:7" x14ac:dyDescent="0.3">
      <c r="G2515" s="4"/>
    </row>
    <row r="2516" spans="7:7" x14ac:dyDescent="0.3">
      <c r="G2516" s="4"/>
    </row>
    <row r="2517" spans="7:7" x14ac:dyDescent="0.3">
      <c r="G2517" s="4"/>
    </row>
    <row r="2518" spans="7:7" x14ac:dyDescent="0.3">
      <c r="G2518" s="4"/>
    </row>
    <row r="2519" spans="7:7" x14ac:dyDescent="0.3">
      <c r="G2519" s="4"/>
    </row>
    <row r="2520" spans="7:7" x14ac:dyDescent="0.3">
      <c r="G2520" s="4"/>
    </row>
    <row r="2521" spans="7:7" x14ac:dyDescent="0.3">
      <c r="G2521" s="4"/>
    </row>
    <row r="2522" spans="7:7" x14ac:dyDescent="0.3">
      <c r="G2522" s="4"/>
    </row>
    <row r="2523" spans="7:7" x14ac:dyDescent="0.3">
      <c r="G2523" s="4"/>
    </row>
    <row r="2524" spans="7:7" x14ac:dyDescent="0.3">
      <c r="G2524" s="4"/>
    </row>
    <row r="2525" spans="7:7" x14ac:dyDescent="0.3">
      <c r="G2525" s="4"/>
    </row>
    <row r="2526" spans="7:7" x14ac:dyDescent="0.3">
      <c r="G2526" s="4"/>
    </row>
    <row r="2527" spans="7:7" x14ac:dyDescent="0.3">
      <c r="G2527" s="4"/>
    </row>
    <row r="2528" spans="7:7" x14ac:dyDescent="0.3">
      <c r="G2528" s="4"/>
    </row>
    <row r="2529" spans="7:7" x14ac:dyDescent="0.3">
      <c r="G2529" s="4"/>
    </row>
    <row r="2530" spans="7:7" x14ac:dyDescent="0.3">
      <c r="G2530" s="4"/>
    </row>
    <row r="2531" spans="7:7" x14ac:dyDescent="0.3">
      <c r="G2531" s="4"/>
    </row>
    <row r="2532" spans="7:7" x14ac:dyDescent="0.3">
      <c r="G2532" s="4"/>
    </row>
    <row r="2533" spans="7:7" x14ac:dyDescent="0.3">
      <c r="G2533" s="4"/>
    </row>
    <row r="2534" spans="7:7" x14ac:dyDescent="0.3">
      <c r="G2534" s="4"/>
    </row>
    <row r="2535" spans="7:7" x14ac:dyDescent="0.3">
      <c r="G2535" s="4"/>
    </row>
    <row r="2536" spans="7:7" x14ac:dyDescent="0.3">
      <c r="G2536" s="4"/>
    </row>
    <row r="2537" spans="7:7" x14ac:dyDescent="0.3">
      <c r="G2537" s="4"/>
    </row>
    <row r="2538" spans="7:7" x14ac:dyDescent="0.3">
      <c r="G2538" s="4"/>
    </row>
    <row r="2539" spans="7:7" x14ac:dyDescent="0.3">
      <c r="G2539" s="4"/>
    </row>
    <row r="2540" spans="7:7" x14ac:dyDescent="0.3">
      <c r="G2540" s="4"/>
    </row>
    <row r="2541" spans="7:7" x14ac:dyDescent="0.3">
      <c r="G2541" s="4"/>
    </row>
    <row r="2542" spans="7:7" x14ac:dyDescent="0.3">
      <c r="G2542" s="4"/>
    </row>
    <row r="2543" spans="7:7" x14ac:dyDescent="0.3">
      <c r="G2543" s="4"/>
    </row>
    <row r="2544" spans="7:7" x14ac:dyDescent="0.3">
      <c r="G2544" s="4"/>
    </row>
    <row r="2545" spans="7:7" x14ac:dyDescent="0.3">
      <c r="G2545" s="4"/>
    </row>
    <row r="2546" spans="7:7" x14ac:dyDescent="0.3">
      <c r="G2546" s="4"/>
    </row>
    <row r="2547" spans="7:7" x14ac:dyDescent="0.3">
      <c r="G2547" s="4"/>
    </row>
    <row r="2548" spans="7:7" x14ac:dyDescent="0.3">
      <c r="G2548" s="4"/>
    </row>
    <row r="2549" spans="7:7" x14ac:dyDescent="0.3">
      <c r="G2549" s="4"/>
    </row>
    <row r="2550" spans="7:7" x14ac:dyDescent="0.3">
      <c r="G2550" s="4"/>
    </row>
    <row r="2551" spans="7:7" x14ac:dyDescent="0.3">
      <c r="G2551" s="4"/>
    </row>
    <row r="2552" spans="7:7" x14ac:dyDescent="0.3">
      <c r="G2552" s="4"/>
    </row>
    <row r="2553" spans="7:7" x14ac:dyDescent="0.3">
      <c r="G2553" s="4"/>
    </row>
    <row r="2554" spans="7:7" x14ac:dyDescent="0.3">
      <c r="G2554" s="4"/>
    </row>
    <row r="2555" spans="7:7" x14ac:dyDescent="0.3">
      <c r="G2555" s="4"/>
    </row>
    <row r="2556" spans="7:7" x14ac:dyDescent="0.3">
      <c r="G2556" s="4"/>
    </row>
    <row r="2557" spans="7:7" x14ac:dyDescent="0.3">
      <c r="G2557" s="4"/>
    </row>
    <row r="2558" spans="7:7" x14ac:dyDescent="0.3">
      <c r="G2558" s="4"/>
    </row>
    <row r="2559" spans="7:7" x14ac:dyDescent="0.3">
      <c r="G2559" s="4"/>
    </row>
    <row r="2560" spans="7:7" x14ac:dyDescent="0.3">
      <c r="G2560" s="4"/>
    </row>
    <row r="2561" spans="7:7" x14ac:dyDescent="0.3">
      <c r="G2561" s="4"/>
    </row>
    <row r="2562" spans="7:7" x14ac:dyDescent="0.3">
      <c r="G2562" s="4"/>
    </row>
    <row r="2563" spans="7:7" x14ac:dyDescent="0.3">
      <c r="G2563" s="4"/>
    </row>
    <row r="2564" spans="7:7" x14ac:dyDescent="0.3">
      <c r="G2564" s="4"/>
    </row>
    <row r="2565" spans="7:7" x14ac:dyDescent="0.3">
      <c r="G2565" s="4"/>
    </row>
    <row r="2566" spans="7:7" x14ac:dyDescent="0.3">
      <c r="G2566" s="4"/>
    </row>
    <row r="2567" spans="7:7" x14ac:dyDescent="0.3">
      <c r="G2567" s="4"/>
    </row>
    <row r="2568" spans="7:7" x14ac:dyDescent="0.3">
      <c r="G2568" s="4"/>
    </row>
    <row r="2569" spans="7:7" x14ac:dyDescent="0.3">
      <c r="G2569" s="4"/>
    </row>
    <row r="2570" spans="7:7" x14ac:dyDescent="0.3">
      <c r="G2570" s="4"/>
    </row>
    <row r="2571" spans="7:7" x14ac:dyDescent="0.3">
      <c r="G2571" s="4"/>
    </row>
    <row r="2572" spans="7:7" x14ac:dyDescent="0.3">
      <c r="G2572" s="4"/>
    </row>
    <row r="2573" spans="7:7" x14ac:dyDescent="0.3">
      <c r="G2573" s="4"/>
    </row>
    <row r="2574" spans="7:7" x14ac:dyDescent="0.3">
      <c r="G2574" s="4"/>
    </row>
    <row r="2575" spans="7:7" x14ac:dyDescent="0.3">
      <c r="G2575" s="4"/>
    </row>
    <row r="2576" spans="7:7" x14ac:dyDescent="0.3">
      <c r="G2576" s="4"/>
    </row>
    <row r="2577" spans="7:7" x14ac:dyDescent="0.3">
      <c r="G2577" s="4"/>
    </row>
    <row r="2578" spans="7:7" x14ac:dyDescent="0.3">
      <c r="G2578" s="4"/>
    </row>
    <row r="2579" spans="7:7" x14ac:dyDescent="0.3">
      <c r="G2579" s="4"/>
    </row>
    <row r="2580" spans="7:7" x14ac:dyDescent="0.3">
      <c r="G2580" s="4"/>
    </row>
    <row r="2581" spans="7:7" x14ac:dyDescent="0.3">
      <c r="G2581" s="4"/>
    </row>
    <row r="2582" spans="7:7" x14ac:dyDescent="0.3">
      <c r="G2582" s="4"/>
    </row>
    <row r="2583" spans="7:7" x14ac:dyDescent="0.3">
      <c r="G2583" s="4"/>
    </row>
    <row r="2584" spans="7:7" x14ac:dyDescent="0.3">
      <c r="G2584" s="4"/>
    </row>
    <row r="2585" spans="7:7" x14ac:dyDescent="0.3">
      <c r="G2585" s="4"/>
    </row>
    <row r="2586" spans="7:7" x14ac:dyDescent="0.3">
      <c r="G2586" s="4"/>
    </row>
    <row r="2587" spans="7:7" x14ac:dyDescent="0.3">
      <c r="G2587" s="4"/>
    </row>
    <row r="2588" spans="7:7" x14ac:dyDescent="0.3">
      <c r="G2588" s="4"/>
    </row>
    <row r="2589" spans="7:7" x14ac:dyDescent="0.3">
      <c r="G2589" s="4"/>
    </row>
    <row r="2590" spans="7:7" x14ac:dyDescent="0.3">
      <c r="G2590" s="4"/>
    </row>
    <row r="2591" spans="7:7" x14ac:dyDescent="0.3">
      <c r="G2591" s="4"/>
    </row>
    <row r="2592" spans="7:7" x14ac:dyDescent="0.3">
      <c r="G2592" s="4"/>
    </row>
    <row r="2593" spans="7:7" x14ac:dyDescent="0.3">
      <c r="G2593" s="4"/>
    </row>
    <row r="2594" spans="7:7" x14ac:dyDescent="0.3">
      <c r="G2594" s="4"/>
    </row>
    <row r="2595" spans="7:7" x14ac:dyDescent="0.3">
      <c r="G2595" s="4"/>
    </row>
    <row r="2596" spans="7:7" x14ac:dyDescent="0.3">
      <c r="G2596" s="4"/>
    </row>
    <row r="2597" spans="7:7" x14ac:dyDescent="0.3">
      <c r="G2597" s="4"/>
    </row>
    <row r="2598" spans="7:7" x14ac:dyDescent="0.3">
      <c r="G2598" s="4"/>
    </row>
    <row r="2599" spans="7:7" x14ac:dyDescent="0.3">
      <c r="G2599" s="4"/>
    </row>
    <row r="2600" spans="7:7" x14ac:dyDescent="0.3">
      <c r="G2600" s="4"/>
    </row>
    <row r="2601" spans="7:7" x14ac:dyDescent="0.3">
      <c r="G2601" s="4"/>
    </row>
    <row r="2602" spans="7:7" x14ac:dyDescent="0.3">
      <c r="G2602" s="4"/>
    </row>
    <row r="2603" spans="7:7" x14ac:dyDescent="0.3">
      <c r="G2603" s="4"/>
    </row>
    <row r="2604" spans="7:7" x14ac:dyDescent="0.3">
      <c r="G2604" s="4"/>
    </row>
    <row r="2605" spans="7:7" x14ac:dyDescent="0.3">
      <c r="G2605" s="4"/>
    </row>
    <row r="2606" spans="7:7" x14ac:dyDescent="0.3">
      <c r="G2606" s="4"/>
    </row>
    <row r="2607" spans="7:7" x14ac:dyDescent="0.3">
      <c r="G2607" s="4"/>
    </row>
    <row r="2608" spans="7:7" x14ac:dyDescent="0.3">
      <c r="G2608" s="4"/>
    </row>
    <row r="2609" spans="7:7" x14ac:dyDescent="0.3">
      <c r="G2609" s="4"/>
    </row>
    <row r="2610" spans="7:7" x14ac:dyDescent="0.3">
      <c r="G2610" s="4"/>
    </row>
    <row r="2611" spans="7:7" x14ac:dyDescent="0.3">
      <c r="G2611" s="4"/>
    </row>
    <row r="2612" spans="7:7" x14ac:dyDescent="0.3">
      <c r="G2612" s="4"/>
    </row>
    <row r="2613" spans="7:7" x14ac:dyDescent="0.3">
      <c r="G2613" s="4"/>
    </row>
    <row r="2614" spans="7:7" x14ac:dyDescent="0.3">
      <c r="G2614" s="4"/>
    </row>
    <row r="2615" spans="7:7" x14ac:dyDescent="0.3">
      <c r="G2615" s="4"/>
    </row>
    <row r="2616" spans="7:7" x14ac:dyDescent="0.3">
      <c r="G2616" s="4"/>
    </row>
    <row r="2617" spans="7:7" x14ac:dyDescent="0.3">
      <c r="G2617" s="4"/>
    </row>
    <row r="2618" spans="7:7" x14ac:dyDescent="0.3">
      <c r="G2618" s="4"/>
    </row>
    <row r="2619" spans="7:7" x14ac:dyDescent="0.3">
      <c r="G2619" s="4"/>
    </row>
    <row r="2620" spans="7:7" x14ac:dyDescent="0.3">
      <c r="G2620" s="4"/>
    </row>
    <row r="2621" spans="7:7" x14ac:dyDescent="0.3">
      <c r="G2621" s="4"/>
    </row>
    <row r="2622" spans="7:7" x14ac:dyDescent="0.3">
      <c r="G2622" s="4"/>
    </row>
    <row r="2623" spans="7:7" x14ac:dyDescent="0.3">
      <c r="G2623" s="4"/>
    </row>
    <row r="2624" spans="7:7" x14ac:dyDescent="0.3">
      <c r="G2624" s="4"/>
    </row>
    <row r="2625" spans="7:7" x14ac:dyDescent="0.3">
      <c r="G2625" s="4"/>
    </row>
    <row r="2626" spans="7:7" x14ac:dyDescent="0.3">
      <c r="G2626" s="4"/>
    </row>
    <row r="2627" spans="7:7" x14ac:dyDescent="0.3">
      <c r="G2627" s="4"/>
    </row>
    <row r="2628" spans="7:7" x14ac:dyDescent="0.3">
      <c r="G2628" s="4"/>
    </row>
    <row r="2629" spans="7:7" x14ac:dyDescent="0.3">
      <c r="G2629" s="4"/>
    </row>
    <row r="2630" spans="7:7" x14ac:dyDescent="0.3">
      <c r="G2630" s="4"/>
    </row>
    <row r="2631" spans="7:7" x14ac:dyDescent="0.3">
      <c r="G2631" s="4"/>
    </row>
    <row r="2632" spans="7:7" x14ac:dyDescent="0.3">
      <c r="G2632" s="4"/>
    </row>
    <row r="2633" spans="7:7" x14ac:dyDescent="0.3">
      <c r="G2633" s="4"/>
    </row>
    <row r="2634" spans="7:7" x14ac:dyDescent="0.3">
      <c r="G2634" s="4"/>
    </row>
    <row r="2635" spans="7:7" x14ac:dyDescent="0.3">
      <c r="G2635" s="4"/>
    </row>
    <row r="2636" spans="7:7" x14ac:dyDescent="0.3">
      <c r="G2636" s="4"/>
    </row>
    <row r="2637" spans="7:7" x14ac:dyDescent="0.3">
      <c r="G2637" s="4"/>
    </row>
    <row r="2638" spans="7:7" x14ac:dyDescent="0.3">
      <c r="G2638" s="4"/>
    </row>
    <row r="2639" spans="7:7" x14ac:dyDescent="0.3">
      <c r="G2639" s="4"/>
    </row>
    <row r="2640" spans="7:7" x14ac:dyDescent="0.3">
      <c r="G2640" s="4"/>
    </row>
    <row r="2641" spans="7:7" x14ac:dyDescent="0.3">
      <c r="G2641" s="4"/>
    </row>
    <row r="2642" spans="7:7" x14ac:dyDescent="0.3">
      <c r="G2642" s="4"/>
    </row>
    <row r="2643" spans="7:7" x14ac:dyDescent="0.3">
      <c r="G2643" s="4"/>
    </row>
    <row r="2644" spans="7:7" x14ac:dyDescent="0.3">
      <c r="G2644" s="4"/>
    </row>
    <row r="2645" spans="7:7" x14ac:dyDescent="0.3">
      <c r="G2645" s="4"/>
    </row>
    <row r="2646" spans="7:7" x14ac:dyDescent="0.3">
      <c r="G2646" s="4"/>
    </row>
    <row r="2647" spans="7:7" x14ac:dyDescent="0.3">
      <c r="G2647" s="4"/>
    </row>
    <row r="2648" spans="7:7" x14ac:dyDescent="0.3">
      <c r="G2648" s="4"/>
    </row>
    <row r="2649" spans="7:7" x14ac:dyDescent="0.3">
      <c r="G2649" s="4"/>
    </row>
    <row r="2650" spans="7:7" x14ac:dyDescent="0.3">
      <c r="G2650" s="4"/>
    </row>
    <row r="2651" spans="7:7" x14ac:dyDescent="0.3">
      <c r="G2651" s="4"/>
    </row>
    <row r="2652" spans="7:7" x14ac:dyDescent="0.3">
      <c r="G2652" s="4"/>
    </row>
    <row r="2653" spans="7:7" x14ac:dyDescent="0.3">
      <c r="G2653" s="4"/>
    </row>
    <row r="2654" spans="7:7" x14ac:dyDescent="0.3">
      <c r="G2654" s="4"/>
    </row>
    <row r="2655" spans="7:7" x14ac:dyDescent="0.3">
      <c r="G2655" s="4"/>
    </row>
    <row r="2656" spans="7:7" x14ac:dyDescent="0.3">
      <c r="G2656" s="4"/>
    </row>
    <row r="2657" spans="7:7" x14ac:dyDescent="0.3">
      <c r="G2657" s="4"/>
    </row>
    <row r="2658" spans="7:7" x14ac:dyDescent="0.3">
      <c r="G2658" s="4"/>
    </row>
    <row r="2659" spans="7:7" x14ac:dyDescent="0.3">
      <c r="G2659" s="4"/>
    </row>
    <row r="2660" spans="7:7" x14ac:dyDescent="0.3">
      <c r="G2660" s="4"/>
    </row>
    <row r="2661" spans="7:7" x14ac:dyDescent="0.3">
      <c r="G2661" s="4"/>
    </row>
    <row r="2662" spans="7:7" x14ac:dyDescent="0.3">
      <c r="G2662" s="4"/>
    </row>
    <row r="2663" spans="7:7" x14ac:dyDescent="0.3">
      <c r="G2663" s="4"/>
    </row>
    <row r="2664" spans="7:7" x14ac:dyDescent="0.3">
      <c r="G2664" s="4"/>
    </row>
    <row r="2665" spans="7:7" x14ac:dyDescent="0.3">
      <c r="G2665" s="4"/>
    </row>
    <row r="2666" spans="7:7" x14ac:dyDescent="0.3">
      <c r="G2666" s="4"/>
    </row>
    <row r="2667" spans="7:7" x14ac:dyDescent="0.3">
      <c r="G2667" s="4"/>
    </row>
    <row r="2668" spans="7:7" x14ac:dyDescent="0.3">
      <c r="G2668" s="4"/>
    </row>
    <row r="2669" spans="7:7" x14ac:dyDescent="0.3">
      <c r="G2669" s="4"/>
    </row>
    <row r="2670" spans="7:7" x14ac:dyDescent="0.3">
      <c r="G2670" s="4"/>
    </row>
    <row r="2671" spans="7:7" x14ac:dyDescent="0.3">
      <c r="G2671" s="4"/>
    </row>
    <row r="2672" spans="7:7" x14ac:dyDescent="0.3">
      <c r="G2672" s="4"/>
    </row>
    <row r="2673" spans="7:7" x14ac:dyDescent="0.3">
      <c r="G2673" s="4"/>
    </row>
    <row r="2674" spans="7:7" x14ac:dyDescent="0.3">
      <c r="G2674" s="4"/>
    </row>
    <row r="2675" spans="7:7" x14ac:dyDescent="0.3">
      <c r="G2675" s="4"/>
    </row>
    <row r="2676" spans="7:7" x14ac:dyDescent="0.3">
      <c r="G2676" s="4"/>
    </row>
    <row r="2677" spans="7:7" x14ac:dyDescent="0.3">
      <c r="G2677" s="4"/>
    </row>
    <row r="2678" spans="7:7" x14ac:dyDescent="0.3">
      <c r="G2678" s="4"/>
    </row>
    <row r="2679" spans="7:7" x14ac:dyDescent="0.3">
      <c r="G2679" s="4"/>
    </row>
    <row r="2680" spans="7:7" x14ac:dyDescent="0.3">
      <c r="G2680" s="4"/>
    </row>
    <row r="2681" spans="7:7" x14ac:dyDescent="0.3">
      <c r="G2681" s="4"/>
    </row>
    <row r="2682" spans="7:7" x14ac:dyDescent="0.3">
      <c r="G2682" s="4"/>
    </row>
    <row r="2683" spans="7:7" x14ac:dyDescent="0.3">
      <c r="G2683" s="4"/>
    </row>
    <row r="2684" spans="7:7" x14ac:dyDescent="0.3">
      <c r="G2684" s="4"/>
    </row>
    <row r="2685" spans="7:7" x14ac:dyDescent="0.3">
      <c r="G2685" s="4"/>
    </row>
    <row r="2686" spans="7:7" x14ac:dyDescent="0.3">
      <c r="G2686" s="4"/>
    </row>
    <row r="2687" spans="7:7" x14ac:dyDescent="0.3">
      <c r="G2687" s="4"/>
    </row>
    <row r="2688" spans="7:7" x14ac:dyDescent="0.3">
      <c r="G2688" s="4"/>
    </row>
    <row r="2689" spans="7:7" x14ac:dyDescent="0.3">
      <c r="G2689" s="4"/>
    </row>
    <row r="2690" spans="7:7" x14ac:dyDescent="0.3">
      <c r="G2690" s="4"/>
    </row>
    <row r="2691" spans="7:7" x14ac:dyDescent="0.3">
      <c r="G2691" s="4"/>
    </row>
    <row r="2692" spans="7:7" x14ac:dyDescent="0.3">
      <c r="G2692" s="4"/>
    </row>
    <row r="2693" spans="7:7" x14ac:dyDescent="0.3">
      <c r="G2693" s="4"/>
    </row>
    <row r="2694" spans="7:7" x14ac:dyDescent="0.3">
      <c r="G2694" s="4"/>
    </row>
    <row r="2695" spans="7:7" x14ac:dyDescent="0.3">
      <c r="G2695" s="4"/>
    </row>
    <row r="2696" spans="7:7" x14ac:dyDescent="0.3">
      <c r="G2696" s="4"/>
    </row>
    <row r="2697" spans="7:7" x14ac:dyDescent="0.3">
      <c r="G2697" s="4"/>
    </row>
    <row r="2698" spans="7:7" x14ac:dyDescent="0.3">
      <c r="G2698" s="4"/>
    </row>
    <row r="2699" spans="7:7" x14ac:dyDescent="0.3">
      <c r="G2699" s="4"/>
    </row>
    <row r="2700" spans="7:7" x14ac:dyDescent="0.3">
      <c r="G2700" s="4"/>
    </row>
    <row r="2701" spans="7:7" x14ac:dyDescent="0.3">
      <c r="G2701" s="4"/>
    </row>
    <row r="2702" spans="7:7" x14ac:dyDescent="0.3">
      <c r="G2702" s="4"/>
    </row>
    <row r="2703" spans="7:7" x14ac:dyDescent="0.3">
      <c r="G2703" s="4"/>
    </row>
    <row r="2704" spans="7:7" x14ac:dyDescent="0.3">
      <c r="G2704" s="4"/>
    </row>
    <row r="2705" spans="7:7" x14ac:dyDescent="0.3">
      <c r="G2705" s="4"/>
    </row>
    <row r="2706" spans="7:7" x14ac:dyDescent="0.3">
      <c r="G2706" s="4"/>
    </row>
    <row r="2707" spans="7:7" x14ac:dyDescent="0.3">
      <c r="G2707" s="4"/>
    </row>
    <row r="2708" spans="7:7" x14ac:dyDescent="0.3">
      <c r="G2708" s="4"/>
    </row>
    <row r="2709" spans="7:7" x14ac:dyDescent="0.3">
      <c r="G2709" s="4"/>
    </row>
    <row r="2710" spans="7:7" x14ac:dyDescent="0.3">
      <c r="G2710" s="4"/>
    </row>
    <row r="2711" spans="7:7" x14ac:dyDescent="0.3">
      <c r="G2711" s="4"/>
    </row>
    <row r="2712" spans="7:7" x14ac:dyDescent="0.3">
      <c r="G2712" s="4"/>
    </row>
    <row r="2713" spans="7:7" x14ac:dyDescent="0.3">
      <c r="G2713" s="4"/>
    </row>
    <row r="2714" spans="7:7" x14ac:dyDescent="0.3">
      <c r="G2714" s="4"/>
    </row>
    <row r="2715" spans="7:7" x14ac:dyDescent="0.3">
      <c r="G2715" s="4"/>
    </row>
    <row r="2716" spans="7:7" x14ac:dyDescent="0.3">
      <c r="G2716" s="4"/>
    </row>
    <row r="2717" spans="7:7" x14ac:dyDescent="0.3">
      <c r="G2717" s="4"/>
    </row>
    <row r="2718" spans="7:7" x14ac:dyDescent="0.3">
      <c r="G2718" s="4"/>
    </row>
    <row r="2719" spans="7:7" x14ac:dyDescent="0.3">
      <c r="G2719" s="4"/>
    </row>
    <row r="2720" spans="7:7" x14ac:dyDescent="0.3">
      <c r="G2720" s="4"/>
    </row>
    <row r="2721" spans="7:7" x14ac:dyDescent="0.3">
      <c r="G2721" s="4"/>
    </row>
    <row r="2722" spans="7:7" x14ac:dyDescent="0.3">
      <c r="G2722" s="4"/>
    </row>
    <row r="2723" spans="7:7" x14ac:dyDescent="0.3">
      <c r="G2723" s="4"/>
    </row>
    <row r="2724" spans="7:7" x14ac:dyDescent="0.3">
      <c r="G2724" s="4"/>
    </row>
    <row r="2725" spans="7:7" x14ac:dyDescent="0.3">
      <c r="G2725" s="4"/>
    </row>
    <row r="2726" spans="7:7" x14ac:dyDescent="0.3">
      <c r="G2726" s="4"/>
    </row>
    <row r="2727" spans="7:7" x14ac:dyDescent="0.3">
      <c r="G2727" s="4"/>
    </row>
    <row r="2728" spans="7:7" x14ac:dyDescent="0.3">
      <c r="G2728" s="4"/>
    </row>
    <row r="2729" spans="7:7" x14ac:dyDescent="0.3">
      <c r="G2729" s="4"/>
    </row>
    <row r="2730" spans="7:7" x14ac:dyDescent="0.3">
      <c r="G2730" s="4"/>
    </row>
    <row r="2731" spans="7:7" x14ac:dyDescent="0.3">
      <c r="G2731" s="4"/>
    </row>
    <row r="2732" spans="7:7" x14ac:dyDescent="0.3">
      <c r="G2732" s="4"/>
    </row>
    <row r="2733" spans="7:7" x14ac:dyDescent="0.3">
      <c r="G2733" s="4"/>
    </row>
    <row r="2734" spans="7:7" x14ac:dyDescent="0.3">
      <c r="G2734" s="4"/>
    </row>
    <row r="2735" spans="7:7" x14ac:dyDescent="0.3">
      <c r="G2735" s="4"/>
    </row>
    <row r="2736" spans="7:7" x14ac:dyDescent="0.3">
      <c r="G2736" s="4"/>
    </row>
    <row r="2737" spans="7:7" x14ac:dyDescent="0.3">
      <c r="G2737" s="4"/>
    </row>
    <row r="2738" spans="7:7" x14ac:dyDescent="0.3">
      <c r="G2738" s="4"/>
    </row>
    <row r="2739" spans="7:7" x14ac:dyDescent="0.3">
      <c r="G2739" s="4"/>
    </row>
    <row r="2740" spans="7:7" x14ac:dyDescent="0.3">
      <c r="G2740" s="4"/>
    </row>
    <row r="2741" spans="7:7" x14ac:dyDescent="0.3">
      <c r="G2741" s="4"/>
    </row>
    <row r="2742" spans="7:7" x14ac:dyDescent="0.3">
      <c r="G2742" s="4"/>
    </row>
    <row r="2743" spans="7:7" x14ac:dyDescent="0.3">
      <c r="G2743" s="4"/>
    </row>
    <row r="2744" spans="7:7" x14ac:dyDescent="0.3">
      <c r="G2744" s="4"/>
    </row>
    <row r="2745" spans="7:7" x14ac:dyDescent="0.3">
      <c r="G2745" s="4"/>
    </row>
    <row r="2746" spans="7:7" x14ac:dyDescent="0.3">
      <c r="G2746" s="4"/>
    </row>
    <row r="2747" spans="7:7" x14ac:dyDescent="0.3">
      <c r="G2747" s="4"/>
    </row>
    <row r="2748" spans="7:7" x14ac:dyDescent="0.3">
      <c r="G2748" s="4"/>
    </row>
    <row r="2749" spans="7:7" x14ac:dyDescent="0.3">
      <c r="G2749" s="4"/>
    </row>
    <row r="2750" spans="7:7" x14ac:dyDescent="0.3">
      <c r="G2750" s="4"/>
    </row>
    <row r="2751" spans="7:7" x14ac:dyDescent="0.3">
      <c r="G2751" s="4"/>
    </row>
    <row r="2752" spans="7:7" x14ac:dyDescent="0.3">
      <c r="G2752" s="4"/>
    </row>
    <row r="2753" spans="7:7" x14ac:dyDescent="0.3">
      <c r="G2753" s="4"/>
    </row>
    <row r="2754" spans="7:7" x14ac:dyDescent="0.3">
      <c r="G2754" s="4"/>
    </row>
    <row r="2755" spans="7:7" x14ac:dyDescent="0.3">
      <c r="G2755" s="4"/>
    </row>
    <row r="2756" spans="7:7" x14ac:dyDescent="0.3">
      <c r="G2756" s="4"/>
    </row>
    <row r="2757" spans="7:7" x14ac:dyDescent="0.3">
      <c r="G2757" s="4"/>
    </row>
    <row r="2758" spans="7:7" x14ac:dyDescent="0.3">
      <c r="G2758" s="4"/>
    </row>
    <row r="2759" spans="7:7" x14ac:dyDescent="0.3">
      <c r="G2759" s="4"/>
    </row>
    <row r="2760" spans="7:7" x14ac:dyDescent="0.3">
      <c r="G2760" s="4"/>
    </row>
    <row r="2761" spans="7:7" x14ac:dyDescent="0.3">
      <c r="G2761" s="4"/>
    </row>
    <row r="2762" spans="7:7" x14ac:dyDescent="0.3">
      <c r="G2762" s="4"/>
    </row>
    <row r="2763" spans="7:7" x14ac:dyDescent="0.3">
      <c r="G2763" s="4"/>
    </row>
    <row r="2764" spans="7:7" x14ac:dyDescent="0.3">
      <c r="G2764" s="4"/>
    </row>
    <row r="2765" spans="7:7" x14ac:dyDescent="0.3">
      <c r="G2765" s="4"/>
    </row>
    <row r="2766" spans="7:7" x14ac:dyDescent="0.3">
      <c r="G2766" s="4"/>
    </row>
    <row r="2767" spans="7:7" x14ac:dyDescent="0.3">
      <c r="G2767" s="4"/>
    </row>
    <row r="2768" spans="7:7" x14ac:dyDescent="0.3">
      <c r="G2768" s="4"/>
    </row>
    <row r="2769" spans="7:7" x14ac:dyDescent="0.3">
      <c r="G2769" s="4"/>
    </row>
    <row r="2770" spans="7:7" x14ac:dyDescent="0.3">
      <c r="G2770" s="4"/>
    </row>
    <row r="2771" spans="7:7" x14ac:dyDescent="0.3">
      <c r="G2771" s="4"/>
    </row>
    <row r="2772" spans="7:7" x14ac:dyDescent="0.3">
      <c r="G2772" s="4"/>
    </row>
    <row r="2773" spans="7:7" x14ac:dyDescent="0.3">
      <c r="G2773" s="4"/>
    </row>
    <row r="2774" spans="7:7" x14ac:dyDescent="0.3">
      <c r="G2774" s="4"/>
    </row>
    <row r="2775" spans="7:7" x14ac:dyDescent="0.3">
      <c r="G2775" s="4"/>
    </row>
    <row r="2776" spans="7:7" x14ac:dyDescent="0.3">
      <c r="G2776" s="4"/>
    </row>
    <row r="2777" spans="7:7" x14ac:dyDescent="0.3">
      <c r="G2777" s="4"/>
    </row>
    <row r="2778" spans="7:7" x14ac:dyDescent="0.3">
      <c r="G2778" s="4"/>
    </row>
    <row r="2779" spans="7:7" x14ac:dyDescent="0.3">
      <c r="G2779" s="4"/>
    </row>
    <row r="2780" spans="7:7" x14ac:dyDescent="0.3">
      <c r="G2780" s="4"/>
    </row>
    <row r="2781" spans="7:7" x14ac:dyDescent="0.3">
      <c r="G2781" s="4"/>
    </row>
    <row r="2782" spans="7:7" x14ac:dyDescent="0.3">
      <c r="G2782" s="4"/>
    </row>
    <row r="2783" spans="7:7" x14ac:dyDescent="0.3">
      <c r="G2783" s="4"/>
    </row>
    <row r="2784" spans="7:7" x14ac:dyDescent="0.3">
      <c r="G2784" s="4"/>
    </row>
    <row r="2785" spans="7:7" x14ac:dyDescent="0.3">
      <c r="G2785" s="4"/>
    </row>
    <row r="2786" spans="7:7" x14ac:dyDescent="0.3">
      <c r="G2786" s="4"/>
    </row>
    <row r="2787" spans="7:7" x14ac:dyDescent="0.3">
      <c r="G2787" s="4"/>
    </row>
    <row r="2788" spans="7:7" x14ac:dyDescent="0.3">
      <c r="G2788" s="4"/>
    </row>
    <row r="2789" spans="7:7" x14ac:dyDescent="0.3">
      <c r="G2789" s="4"/>
    </row>
    <row r="2790" spans="7:7" x14ac:dyDescent="0.3">
      <c r="G2790" s="4"/>
    </row>
    <row r="2791" spans="7:7" x14ac:dyDescent="0.3">
      <c r="G2791" s="4"/>
    </row>
    <row r="2792" spans="7:7" x14ac:dyDescent="0.3">
      <c r="G2792" s="4"/>
    </row>
    <row r="2793" spans="7:7" x14ac:dyDescent="0.3">
      <c r="G2793" s="4"/>
    </row>
    <row r="2794" spans="7:7" x14ac:dyDescent="0.3">
      <c r="G2794" s="4"/>
    </row>
    <row r="2795" spans="7:7" x14ac:dyDescent="0.3">
      <c r="G2795" s="4"/>
    </row>
    <row r="2796" spans="7:7" x14ac:dyDescent="0.3">
      <c r="G2796" s="4"/>
    </row>
    <row r="2797" spans="7:7" x14ac:dyDescent="0.3">
      <c r="G2797" s="4"/>
    </row>
    <row r="2798" spans="7:7" x14ac:dyDescent="0.3">
      <c r="G2798" s="4"/>
    </row>
    <row r="2799" spans="7:7" x14ac:dyDescent="0.3">
      <c r="G2799" s="4"/>
    </row>
    <row r="2800" spans="7:7" x14ac:dyDescent="0.3">
      <c r="G2800" s="4"/>
    </row>
    <row r="2801" spans="7:7" x14ac:dyDescent="0.3">
      <c r="G2801" s="4"/>
    </row>
    <row r="2802" spans="7:7" x14ac:dyDescent="0.3">
      <c r="G2802" s="4"/>
    </row>
    <row r="2803" spans="7:7" x14ac:dyDescent="0.3">
      <c r="G2803" s="4"/>
    </row>
    <row r="2804" spans="7:7" x14ac:dyDescent="0.3">
      <c r="G2804" s="4"/>
    </row>
    <row r="2805" spans="7:7" x14ac:dyDescent="0.3">
      <c r="G2805" s="4"/>
    </row>
    <row r="2806" spans="7:7" x14ac:dyDescent="0.3">
      <c r="G2806" s="4"/>
    </row>
    <row r="2807" spans="7:7" x14ac:dyDescent="0.3">
      <c r="G2807" s="4"/>
    </row>
    <row r="2808" spans="7:7" x14ac:dyDescent="0.3">
      <c r="G2808" s="4"/>
    </row>
    <row r="2809" spans="7:7" x14ac:dyDescent="0.3">
      <c r="G2809" s="4"/>
    </row>
    <row r="2810" spans="7:7" x14ac:dyDescent="0.3">
      <c r="G2810" s="4"/>
    </row>
    <row r="2811" spans="7:7" x14ac:dyDescent="0.3">
      <c r="G2811" s="4"/>
    </row>
    <row r="2812" spans="7:7" x14ac:dyDescent="0.3">
      <c r="G2812" s="4"/>
    </row>
    <row r="2813" spans="7:7" x14ac:dyDescent="0.3">
      <c r="G2813" s="4"/>
    </row>
    <row r="2814" spans="7:7" x14ac:dyDescent="0.3">
      <c r="G2814" s="4"/>
    </row>
    <row r="2815" spans="7:7" x14ac:dyDescent="0.3">
      <c r="G2815" s="4"/>
    </row>
    <row r="2816" spans="7:7" x14ac:dyDescent="0.3">
      <c r="G2816" s="4"/>
    </row>
    <row r="2817" spans="7:7" x14ac:dyDescent="0.3">
      <c r="G2817" s="4"/>
    </row>
    <row r="2818" spans="7:7" x14ac:dyDescent="0.3">
      <c r="G2818" s="4"/>
    </row>
    <row r="2819" spans="7:7" x14ac:dyDescent="0.3">
      <c r="G2819" s="4"/>
    </row>
    <row r="2820" spans="7:7" x14ac:dyDescent="0.3">
      <c r="G2820" s="4"/>
    </row>
    <row r="2821" spans="7:7" x14ac:dyDescent="0.3">
      <c r="G2821" s="4"/>
    </row>
    <row r="2822" spans="7:7" x14ac:dyDescent="0.3">
      <c r="G2822" s="4"/>
    </row>
    <row r="2823" spans="7:7" x14ac:dyDescent="0.3">
      <c r="G2823" s="4"/>
    </row>
    <row r="2824" spans="7:7" x14ac:dyDescent="0.3">
      <c r="G2824" s="4"/>
    </row>
    <row r="2825" spans="7:7" x14ac:dyDescent="0.3">
      <c r="G2825" s="4"/>
    </row>
    <row r="2826" spans="7:7" x14ac:dyDescent="0.3">
      <c r="G2826" s="4"/>
    </row>
    <row r="2827" spans="7:7" x14ac:dyDescent="0.3">
      <c r="G2827" s="4"/>
    </row>
    <row r="2828" spans="7:7" x14ac:dyDescent="0.3">
      <c r="G2828" s="4"/>
    </row>
    <row r="2829" spans="7:7" x14ac:dyDescent="0.3">
      <c r="G2829" s="4"/>
    </row>
    <row r="2830" spans="7:7" x14ac:dyDescent="0.3">
      <c r="G2830" s="4"/>
    </row>
    <row r="2831" spans="7:7" x14ac:dyDescent="0.3">
      <c r="G2831" s="4"/>
    </row>
    <row r="2832" spans="7:7" x14ac:dyDescent="0.3">
      <c r="G2832" s="4"/>
    </row>
    <row r="2833" spans="7:7" x14ac:dyDescent="0.3">
      <c r="G2833" s="4"/>
    </row>
    <row r="2834" spans="7:7" x14ac:dyDescent="0.3">
      <c r="G2834" s="4"/>
    </row>
    <row r="2835" spans="7:7" x14ac:dyDescent="0.3">
      <c r="G2835" s="4"/>
    </row>
    <row r="2836" spans="7:7" x14ac:dyDescent="0.3">
      <c r="G2836" s="4"/>
    </row>
    <row r="2837" spans="7:7" x14ac:dyDescent="0.3">
      <c r="G2837" s="4"/>
    </row>
    <row r="2838" spans="7:7" x14ac:dyDescent="0.3">
      <c r="G2838" s="4"/>
    </row>
    <row r="2839" spans="7:7" x14ac:dyDescent="0.3">
      <c r="G2839" s="4"/>
    </row>
    <row r="2840" spans="7:7" x14ac:dyDescent="0.3">
      <c r="G2840" s="4"/>
    </row>
    <row r="2841" spans="7:7" x14ac:dyDescent="0.3">
      <c r="G2841" s="4"/>
    </row>
    <row r="2842" spans="7:7" x14ac:dyDescent="0.3">
      <c r="G2842" s="4"/>
    </row>
    <row r="2843" spans="7:7" x14ac:dyDescent="0.3">
      <c r="G2843" s="4"/>
    </row>
    <row r="2844" spans="7:7" x14ac:dyDescent="0.3">
      <c r="G2844" s="4"/>
    </row>
    <row r="2845" spans="7:7" x14ac:dyDescent="0.3">
      <c r="G2845" s="4"/>
    </row>
    <row r="2846" spans="7:7" x14ac:dyDescent="0.3">
      <c r="G2846" s="4"/>
    </row>
    <row r="2847" spans="7:7" x14ac:dyDescent="0.3">
      <c r="G2847" s="4"/>
    </row>
    <row r="2848" spans="7:7" x14ac:dyDescent="0.3">
      <c r="G2848" s="4"/>
    </row>
    <row r="2849" spans="7:7" x14ac:dyDescent="0.3">
      <c r="G2849" s="4"/>
    </row>
    <row r="2850" spans="7:7" x14ac:dyDescent="0.3">
      <c r="G2850" s="4"/>
    </row>
    <row r="2851" spans="7:7" x14ac:dyDescent="0.3">
      <c r="G2851" s="4"/>
    </row>
    <row r="2852" spans="7:7" x14ac:dyDescent="0.3">
      <c r="G2852" s="4"/>
    </row>
    <row r="2853" spans="7:7" x14ac:dyDescent="0.3">
      <c r="G2853" s="4"/>
    </row>
    <row r="2854" spans="7:7" x14ac:dyDescent="0.3">
      <c r="G2854" s="4"/>
    </row>
    <row r="2855" spans="7:7" x14ac:dyDescent="0.3">
      <c r="G2855" s="4"/>
    </row>
    <row r="2856" spans="7:7" x14ac:dyDescent="0.3">
      <c r="G2856" s="4"/>
    </row>
    <row r="2857" spans="7:7" x14ac:dyDescent="0.3">
      <c r="G2857" s="4"/>
    </row>
    <row r="2858" spans="7:7" x14ac:dyDescent="0.3">
      <c r="G2858" s="4"/>
    </row>
    <row r="2859" spans="7:7" x14ac:dyDescent="0.3">
      <c r="G2859" s="4"/>
    </row>
    <row r="2860" spans="7:7" x14ac:dyDescent="0.3">
      <c r="G2860" s="4"/>
    </row>
    <row r="2861" spans="7:7" x14ac:dyDescent="0.3">
      <c r="G2861" s="4"/>
    </row>
    <row r="2862" spans="7:7" x14ac:dyDescent="0.3">
      <c r="G2862" s="4"/>
    </row>
    <row r="2863" spans="7:7" x14ac:dyDescent="0.3">
      <c r="G2863" s="4"/>
    </row>
    <row r="2864" spans="7:7" x14ac:dyDescent="0.3">
      <c r="G2864" s="4"/>
    </row>
    <row r="2865" spans="7:7" x14ac:dyDescent="0.3">
      <c r="G2865" s="4"/>
    </row>
    <row r="2866" spans="7:7" x14ac:dyDescent="0.3">
      <c r="G2866" s="4"/>
    </row>
    <row r="2867" spans="7:7" x14ac:dyDescent="0.3">
      <c r="G2867" s="4"/>
    </row>
    <row r="2868" spans="7:7" x14ac:dyDescent="0.3">
      <c r="G2868" s="4"/>
    </row>
    <row r="2869" spans="7:7" x14ac:dyDescent="0.3">
      <c r="G2869" s="4"/>
    </row>
    <row r="2870" spans="7:7" x14ac:dyDescent="0.3">
      <c r="G2870" s="4"/>
    </row>
    <row r="2871" spans="7:7" x14ac:dyDescent="0.3">
      <c r="G2871" s="4"/>
    </row>
    <row r="2872" spans="7:7" x14ac:dyDescent="0.3">
      <c r="G2872" s="4"/>
    </row>
    <row r="2873" spans="7:7" x14ac:dyDescent="0.3">
      <c r="G2873" s="4"/>
    </row>
    <row r="2874" spans="7:7" x14ac:dyDescent="0.3">
      <c r="G2874" s="4"/>
    </row>
    <row r="2875" spans="7:7" x14ac:dyDescent="0.3">
      <c r="G2875" s="4"/>
    </row>
    <row r="2876" spans="7:7" x14ac:dyDescent="0.3">
      <c r="G2876" s="4"/>
    </row>
    <row r="2877" spans="7:7" x14ac:dyDescent="0.3">
      <c r="G2877" s="4"/>
    </row>
    <row r="2878" spans="7:7" x14ac:dyDescent="0.3">
      <c r="G2878" s="4"/>
    </row>
    <row r="2879" spans="7:7" x14ac:dyDescent="0.3">
      <c r="G2879" s="4"/>
    </row>
    <row r="2880" spans="7:7" x14ac:dyDescent="0.3">
      <c r="G2880" s="4"/>
    </row>
  </sheetData>
  <autoFilter ref="A1:F2879" xr:uid="{00000000-0009-0000-0000-00000A000000}"/>
  <pageMargins left="0.7" right="0.7" top="0.75" bottom="0.75" header="0.3" footer="0.3"/>
  <headerFooter>
    <oddFooter>&amp;L_x000D_&amp;1#&amp;"Calibri"&amp;11&amp;K000000 Non-Confidential - Anyone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6" tint="0.39997558519241921"/>
  </sheetPr>
  <dimension ref="A1:B460"/>
  <sheetViews>
    <sheetView workbookViewId="0">
      <pane ySplit="1" topLeftCell="A2" activePane="bottomLeft" state="frozen"/>
      <selection activeCell="H8" sqref="H8"/>
      <selection pane="bottomLeft" activeCell="B1" sqref="B1"/>
    </sheetView>
  </sheetViews>
  <sheetFormatPr defaultRowHeight="14.4" x14ac:dyDescent="0.3"/>
  <cols>
    <col min="1" max="1" width="21.109375" customWidth="1"/>
    <col min="2" max="2" width="67" style="5" bestFit="1" customWidth="1"/>
  </cols>
  <sheetData>
    <row r="1" spans="1:2" x14ac:dyDescent="0.3">
      <c r="A1" s="1" t="s">
        <v>103</v>
      </c>
      <c r="B1" s="6" t="s">
        <v>60</v>
      </c>
    </row>
    <row r="2" spans="1:2" x14ac:dyDescent="0.3">
      <c r="A2" t="s">
        <v>934</v>
      </c>
      <c r="B2" s="10" t="s">
        <v>934</v>
      </c>
    </row>
    <row r="3" spans="1:2" x14ac:dyDescent="0.3">
      <c r="A3" t="s">
        <v>935</v>
      </c>
      <c r="B3" s="10" t="s">
        <v>1379</v>
      </c>
    </row>
    <row r="4" spans="1:2" x14ac:dyDescent="0.3">
      <c r="A4" t="s">
        <v>936</v>
      </c>
      <c r="B4" s="10" t="s">
        <v>1380</v>
      </c>
    </row>
    <row r="5" spans="1:2" x14ac:dyDescent="0.3">
      <c r="A5" t="s">
        <v>937</v>
      </c>
      <c r="B5" s="10" t="s">
        <v>1381</v>
      </c>
    </row>
    <row r="6" spans="1:2" x14ac:dyDescent="0.3">
      <c r="A6" t="s">
        <v>938</v>
      </c>
      <c r="B6" s="10" t="s">
        <v>1382</v>
      </c>
    </row>
    <row r="7" spans="1:2" x14ac:dyDescent="0.3">
      <c r="A7" t="s">
        <v>939</v>
      </c>
      <c r="B7" s="10" t="s">
        <v>1383</v>
      </c>
    </row>
    <row r="8" spans="1:2" x14ac:dyDescent="0.3">
      <c r="A8" t="s">
        <v>333</v>
      </c>
      <c r="B8" s="10" t="s">
        <v>1384</v>
      </c>
    </row>
    <row r="9" spans="1:2" x14ac:dyDescent="0.3">
      <c r="A9" t="s">
        <v>334</v>
      </c>
      <c r="B9" s="10" t="s">
        <v>1385</v>
      </c>
    </row>
    <row r="10" spans="1:2" x14ac:dyDescent="0.3">
      <c r="A10" t="s">
        <v>940</v>
      </c>
      <c r="B10" s="10" t="s">
        <v>1386</v>
      </c>
    </row>
    <row r="11" spans="1:2" x14ac:dyDescent="0.3">
      <c r="A11" t="s">
        <v>941</v>
      </c>
      <c r="B11" s="10" t="s">
        <v>1387</v>
      </c>
    </row>
    <row r="12" spans="1:2" x14ac:dyDescent="0.3">
      <c r="A12" t="s">
        <v>942</v>
      </c>
      <c r="B12" s="10" t="s">
        <v>1388</v>
      </c>
    </row>
    <row r="13" spans="1:2" x14ac:dyDescent="0.3">
      <c r="A13" t="s">
        <v>943</v>
      </c>
      <c r="B13" s="10" t="s">
        <v>1389</v>
      </c>
    </row>
    <row r="14" spans="1:2" x14ac:dyDescent="0.3">
      <c r="A14" t="s">
        <v>944</v>
      </c>
      <c r="B14" s="10" t="s">
        <v>1390</v>
      </c>
    </row>
    <row r="15" spans="1:2" x14ac:dyDescent="0.3">
      <c r="A15" t="s">
        <v>945</v>
      </c>
      <c r="B15" s="10" t="s">
        <v>1391</v>
      </c>
    </row>
    <row r="16" spans="1:2" x14ac:dyDescent="0.3">
      <c r="A16" t="s">
        <v>342</v>
      </c>
      <c r="B16" s="10" t="s">
        <v>1392</v>
      </c>
    </row>
    <row r="17" spans="1:2" x14ac:dyDescent="0.3">
      <c r="A17" t="s">
        <v>946</v>
      </c>
      <c r="B17" s="10" t="s">
        <v>1393</v>
      </c>
    </row>
    <row r="18" spans="1:2" x14ac:dyDescent="0.3">
      <c r="A18" t="s">
        <v>947</v>
      </c>
      <c r="B18" s="10" t="s">
        <v>1394</v>
      </c>
    </row>
    <row r="19" spans="1:2" x14ac:dyDescent="0.3">
      <c r="A19" t="s">
        <v>948</v>
      </c>
      <c r="B19" s="10" t="s">
        <v>1395</v>
      </c>
    </row>
    <row r="20" spans="1:2" x14ac:dyDescent="0.3">
      <c r="A20" t="s">
        <v>949</v>
      </c>
      <c r="B20" s="10" t="s">
        <v>1396</v>
      </c>
    </row>
    <row r="21" spans="1:2" x14ac:dyDescent="0.3">
      <c r="A21" t="s">
        <v>950</v>
      </c>
      <c r="B21" s="10" t="s">
        <v>1397</v>
      </c>
    </row>
    <row r="22" spans="1:2" x14ac:dyDescent="0.3">
      <c r="A22" t="s">
        <v>348</v>
      </c>
      <c r="B22" s="10" t="s">
        <v>1398</v>
      </c>
    </row>
    <row r="23" spans="1:2" x14ac:dyDescent="0.3">
      <c r="A23" t="s">
        <v>951</v>
      </c>
      <c r="B23" s="10" t="s">
        <v>1399</v>
      </c>
    </row>
    <row r="24" spans="1:2" x14ac:dyDescent="0.3">
      <c r="A24" t="s">
        <v>952</v>
      </c>
      <c r="B24" s="10" t="s">
        <v>1400</v>
      </c>
    </row>
    <row r="25" spans="1:2" x14ac:dyDescent="0.3">
      <c r="A25" t="s">
        <v>953</v>
      </c>
      <c r="B25" s="10" t="s">
        <v>1401</v>
      </c>
    </row>
    <row r="26" spans="1:2" x14ac:dyDescent="0.3">
      <c r="A26" t="s">
        <v>954</v>
      </c>
      <c r="B26" s="10" t="s">
        <v>1402</v>
      </c>
    </row>
    <row r="27" spans="1:2" x14ac:dyDescent="0.3">
      <c r="A27" t="s">
        <v>955</v>
      </c>
      <c r="B27" s="10" t="s">
        <v>1403</v>
      </c>
    </row>
    <row r="28" spans="1:2" x14ac:dyDescent="0.3">
      <c r="A28" t="s">
        <v>956</v>
      </c>
      <c r="B28" s="10" t="s">
        <v>1404</v>
      </c>
    </row>
    <row r="29" spans="1:2" x14ac:dyDescent="0.3">
      <c r="A29" t="s">
        <v>957</v>
      </c>
      <c r="B29" s="10" t="s">
        <v>1405</v>
      </c>
    </row>
    <row r="30" spans="1:2" x14ac:dyDescent="0.3">
      <c r="A30" t="s">
        <v>958</v>
      </c>
      <c r="B30" s="10" t="s">
        <v>1406</v>
      </c>
    </row>
    <row r="31" spans="1:2" x14ac:dyDescent="0.3">
      <c r="A31" t="s">
        <v>959</v>
      </c>
      <c r="B31" s="10" t="s">
        <v>1407</v>
      </c>
    </row>
    <row r="32" spans="1:2" x14ac:dyDescent="0.3">
      <c r="A32" t="s">
        <v>960</v>
      </c>
      <c r="B32" s="10" t="s">
        <v>1408</v>
      </c>
    </row>
    <row r="33" spans="1:2" x14ac:dyDescent="0.3">
      <c r="A33" t="s">
        <v>961</v>
      </c>
      <c r="B33" s="10" t="s">
        <v>1409</v>
      </c>
    </row>
    <row r="34" spans="1:2" x14ac:dyDescent="0.3">
      <c r="A34" t="s">
        <v>962</v>
      </c>
      <c r="B34" s="10" t="s">
        <v>1410</v>
      </c>
    </row>
    <row r="35" spans="1:2" x14ac:dyDescent="0.3">
      <c r="A35" t="s">
        <v>963</v>
      </c>
      <c r="B35" s="10" t="s">
        <v>1411</v>
      </c>
    </row>
    <row r="36" spans="1:2" x14ac:dyDescent="0.3">
      <c r="A36" t="s">
        <v>964</v>
      </c>
      <c r="B36" s="10" t="s">
        <v>1412</v>
      </c>
    </row>
    <row r="37" spans="1:2" x14ac:dyDescent="0.3">
      <c r="A37" t="s">
        <v>965</v>
      </c>
      <c r="B37" s="10" t="s">
        <v>1413</v>
      </c>
    </row>
    <row r="38" spans="1:2" x14ac:dyDescent="0.3">
      <c r="A38" t="s">
        <v>966</v>
      </c>
      <c r="B38" s="10" t="s">
        <v>1414</v>
      </c>
    </row>
    <row r="39" spans="1:2" x14ac:dyDescent="0.3">
      <c r="A39" t="s">
        <v>968</v>
      </c>
      <c r="B39" s="10" t="s">
        <v>1415</v>
      </c>
    </row>
    <row r="40" spans="1:2" x14ac:dyDescent="0.3">
      <c r="A40" t="s">
        <v>372</v>
      </c>
      <c r="B40" s="10" t="s">
        <v>1416</v>
      </c>
    </row>
    <row r="41" spans="1:2" x14ac:dyDescent="0.3">
      <c r="A41" t="s">
        <v>969</v>
      </c>
      <c r="B41" s="10" t="s">
        <v>1417</v>
      </c>
    </row>
    <row r="42" spans="1:2" x14ac:dyDescent="0.3">
      <c r="A42" t="s">
        <v>970</v>
      </c>
      <c r="B42" s="10" t="s">
        <v>1418</v>
      </c>
    </row>
    <row r="43" spans="1:2" x14ac:dyDescent="0.3">
      <c r="A43" t="s">
        <v>971</v>
      </c>
      <c r="B43" s="10" t="s">
        <v>1419</v>
      </c>
    </row>
    <row r="44" spans="1:2" x14ac:dyDescent="0.3">
      <c r="A44" t="s">
        <v>973</v>
      </c>
      <c r="B44" s="10" t="s">
        <v>1420</v>
      </c>
    </row>
    <row r="45" spans="1:2" x14ac:dyDescent="0.3">
      <c r="A45" t="s">
        <v>974</v>
      </c>
      <c r="B45" s="10" t="s">
        <v>1421</v>
      </c>
    </row>
    <row r="46" spans="1:2" x14ac:dyDescent="0.3">
      <c r="A46" t="s">
        <v>975</v>
      </c>
      <c r="B46" s="10" t="s">
        <v>1422</v>
      </c>
    </row>
    <row r="47" spans="1:2" x14ac:dyDescent="0.3">
      <c r="A47" t="s">
        <v>977</v>
      </c>
      <c r="B47" s="10" t="s">
        <v>1423</v>
      </c>
    </row>
    <row r="48" spans="1:2" x14ac:dyDescent="0.3">
      <c r="A48" t="s">
        <v>390</v>
      </c>
      <c r="B48" s="10" t="s">
        <v>1424</v>
      </c>
    </row>
    <row r="49" spans="1:2" x14ac:dyDescent="0.3">
      <c r="A49" t="s">
        <v>978</v>
      </c>
      <c r="B49" s="10" t="s">
        <v>1425</v>
      </c>
    </row>
    <row r="50" spans="1:2" x14ac:dyDescent="0.3">
      <c r="A50" t="s">
        <v>979</v>
      </c>
      <c r="B50" s="10" t="s">
        <v>1426</v>
      </c>
    </row>
    <row r="51" spans="1:2" x14ac:dyDescent="0.3">
      <c r="A51" t="s">
        <v>980</v>
      </c>
      <c r="B51" s="10" t="s">
        <v>1427</v>
      </c>
    </row>
    <row r="52" spans="1:2" x14ac:dyDescent="0.3">
      <c r="A52" t="s">
        <v>982</v>
      </c>
      <c r="B52" s="10" t="s">
        <v>1428</v>
      </c>
    </row>
    <row r="53" spans="1:2" x14ac:dyDescent="0.3">
      <c r="A53" t="s">
        <v>983</v>
      </c>
      <c r="B53" s="10" t="s">
        <v>1429</v>
      </c>
    </row>
    <row r="54" spans="1:2" x14ac:dyDescent="0.3">
      <c r="A54" t="s">
        <v>984</v>
      </c>
      <c r="B54" s="10" t="s">
        <v>1430</v>
      </c>
    </row>
    <row r="55" spans="1:2" x14ac:dyDescent="0.3">
      <c r="A55" t="s">
        <v>986</v>
      </c>
      <c r="B55" s="10" t="s">
        <v>1431</v>
      </c>
    </row>
    <row r="56" spans="1:2" x14ac:dyDescent="0.3">
      <c r="A56" t="s">
        <v>408</v>
      </c>
      <c r="B56" s="10" t="s">
        <v>1432</v>
      </c>
    </row>
    <row r="57" spans="1:2" x14ac:dyDescent="0.3">
      <c r="A57" t="s">
        <v>987</v>
      </c>
      <c r="B57" s="10" t="s">
        <v>1433</v>
      </c>
    </row>
    <row r="58" spans="1:2" x14ac:dyDescent="0.3">
      <c r="A58" t="s">
        <v>988</v>
      </c>
      <c r="B58" s="10" t="s">
        <v>1434</v>
      </c>
    </row>
    <row r="59" spans="1:2" x14ac:dyDescent="0.3">
      <c r="A59" t="s">
        <v>989</v>
      </c>
      <c r="B59" s="10" t="s">
        <v>1435</v>
      </c>
    </row>
    <row r="60" spans="1:2" x14ac:dyDescent="0.3">
      <c r="A60" t="s">
        <v>991</v>
      </c>
      <c r="B60" s="10" t="s">
        <v>1436</v>
      </c>
    </row>
    <row r="61" spans="1:2" x14ac:dyDescent="0.3">
      <c r="A61" t="s">
        <v>992</v>
      </c>
      <c r="B61" s="10" t="s">
        <v>1437</v>
      </c>
    </row>
    <row r="62" spans="1:2" x14ac:dyDescent="0.3">
      <c r="A62" t="s">
        <v>994</v>
      </c>
      <c r="B62" s="10" t="s">
        <v>1438</v>
      </c>
    </row>
    <row r="63" spans="1:2" x14ac:dyDescent="0.3">
      <c r="A63" t="s">
        <v>426</v>
      </c>
      <c r="B63" s="10" t="s">
        <v>1439</v>
      </c>
    </row>
    <row r="64" spans="1:2" x14ac:dyDescent="0.3">
      <c r="A64" t="s">
        <v>995</v>
      </c>
      <c r="B64" s="10" t="s">
        <v>1440</v>
      </c>
    </row>
    <row r="65" spans="1:2" x14ac:dyDescent="0.3">
      <c r="A65" t="s">
        <v>996</v>
      </c>
      <c r="B65" s="10" t="s">
        <v>1441</v>
      </c>
    </row>
    <row r="66" spans="1:2" x14ac:dyDescent="0.3">
      <c r="A66" t="s">
        <v>997</v>
      </c>
      <c r="B66" s="10" t="s">
        <v>1442</v>
      </c>
    </row>
    <row r="67" spans="1:2" x14ac:dyDescent="0.3">
      <c r="A67" t="s">
        <v>999</v>
      </c>
      <c r="B67" s="10" t="s">
        <v>1443</v>
      </c>
    </row>
    <row r="68" spans="1:2" x14ac:dyDescent="0.3">
      <c r="A68" t="s">
        <v>1000</v>
      </c>
      <c r="B68" s="10" t="s">
        <v>1444</v>
      </c>
    </row>
    <row r="69" spans="1:2" x14ac:dyDescent="0.3">
      <c r="A69" t="s">
        <v>444</v>
      </c>
      <c r="B69" s="10" t="s">
        <v>1445</v>
      </c>
    </row>
    <row r="70" spans="1:2" x14ac:dyDescent="0.3">
      <c r="A70" t="s">
        <v>445</v>
      </c>
      <c r="B70" s="10" t="s">
        <v>1446</v>
      </c>
    </row>
    <row r="71" spans="1:2" x14ac:dyDescent="0.3">
      <c r="A71" t="s">
        <v>1001</v>
      </c>
      <c r="B71" s="10" t="s">
        <v>1447</v>
      </c>
    </row>
    <row r="72" spans="1:2" x14ac:dyDescent="0.3">
      <c r="A72" t="s">
        <v>1002</v>
      </c>
      <c r="B72" s="10" t="s">
        <v>1448</v>
      </c>
    </row>
    <row r="73" spans="1:2" x14ac:dyDescent="0.3">
      <c r="A73" t="s">
        <v>1004</v>
      </c>
      <c r="B73" s="10" t="s">
        <v>1449</v>
      </c>
    </row>
    <row r="74" spans="1:2" x14ac:dyDescent="0.3">
      <c r="A74" t="s">
        <v>1005</v>
      </c>
      <c r="B74" s="10" t="s">
        <v>1450</v>
      </c>
    </row>
    <row r="75" spans="1:2" x14ac:dyDescent="0.3">
      <c r="A75" t="s">
        <v>1006</v>
      </c>
      <c r="B75" s="10" t="s">
        <v>1451</v>
      </c>
    </row>
    <row r="76" spans="1:2" x14ac:dyDescent="0.3">
      <c r="A76" t="s">
        <v>1007</v>
      </c>
      <c r="B76" s="10" t="s">
        <v>1452</v>
      </c>
    </row>
    <row r="77" spans="1:2" x14ac:dyDescent="0.3">
      <c r="A77" t="s">
        <v>1008</v>
      </c>
      <c r="B77" s="10" t="s">
        <v>1453</v>
      </c>
    </row>
    <row r="78" spans="1:2" x14ac:dyDescent="0.3">
      <c r="A78" t="s">
        <v>1009</v>
      </c>
      <c r="B78" s="10" t="s">
        <v>1454</v>
      </c>
    </row>
    <row r="79" spans="1:2" x14ac:dyDescent="0.3">
      <c r="A79" t="s">
        <v>459</v>
      </c>
      <c r="B79" s="10" t="s">
        <v>1455</v>
      </c>
    </row>
    <row r="80" spans="1:2" x14ac:dyDescent="0.3">
      <c r="A80" t="s">
        <v>461</v>
      </c>
      <c r="B80" s="10" t="s">
        <v>1456</v>
      </c>
    </row>
    <row r="81" spans="1:2" x14ac:dyDescent="0.3">
      <c r="A81" t="s">
        <v>463</v>
      </c>
      <c r="B81" s="10" t="s">
        <v>1457</v>
      </c>
    </row>
    <row r="82" spans="1:2" x14ac:dyDescent="0.3">
      <c r="A82" t="s">
        <v>1010</v>
      </c>
      <c r="B82" s="10" t="s">
        <v>1458</v>
      </c>
    </row>
    <row r="83" spans="1:2" x14ac:dyDescent="0.3">
      <c r="A83" t="s">
        <v>1011</v>
      </c>
      <c r="B83" s="10" t="s">
        <v>1459</v>
      </c>
    </row>
    <row r="84" spans="1:2" x14ac:dyDescent="0.3">
      <c r="A84" t="s">
        <v>1012</v>
      </c>
      <c r="B84" s="10" t="s">
        <v>1460</v>
      </c>
    </row>
    <row r="85" spans="1:2" x14ac:dyDescent="0.3">
      <c r="A85" t="s">
        <v>1013</v>
      </c>
      <c r="B85" s="10" t="s">
        <v>1461</v>
      </c>
    </row>
    <row r="86" spans="1:2" x14ac:dyDescent="0.3">
      <c r="A86" t="s">
        <v>1014</v>
      </c>
      <c r="B86" s="10" t="s">
        <v>1462</v>
      </c>
    </row>
    <row r="87" spans="1:2" x14ac:dyDescent="0.3">
      <c r="A87" t="s">
        <v>1015</v>
      </c>
      <c r="B87" s="10" t="s">
        <v>1463</v>
      </c>
    </row>
    <row r="88" spans="1:2" x14ac:dyDescent="0.3">
      <c r="A88" t="s">
        <v>1016</v>
      </c>
      <c r="B88" s="10" t="s">
        <v>1464</v>
      </c>
    </row>
    <row r="89" spans="1:2" x14ac:dyDescent="0.3">
      <c r="A89" t="s">
        <v>1017</v>
      </c>
      <c r="B89" s="10" t="s">
        <v>1465</v>
      </c>
    </row>
    <row r="90" spans="1:2" x14ac:dyDescent="0.3">
      <c r="A90" t="s">
        <v>1018</v>
      </c>
      <c r="B90" s="10" t="s">
        <v>1466</v>
      </c>
    </row>
    <row r="91" spans="1:2" x14ac:dyDescent="0.3">
      <c r="A91" t="s">
        <v>1019</v>
      </c>
      <c r="B91" s="10" t="s">
        <v>1467</v>
      </c>
    </row>
    <row r="92" spans="1:2" x14ac:dyDescent="0.3">
      <c r="A92" t="s">
        <v>1020</v>
      </c>
      <c r="B92" s="10" t="s">
        <v>1468</v>
      </c>
    </row>
    <row r="93" spans="1:2" x14ac:dyDescent="0.3">
      <c r="A93" t="s">
        <v>1021</v>
      </c>
      <c r="B93" s="10" t="s">
        <v>1469</v>
      </c>
    </row>
    <row r="94" spans="1:2" x14ac:dyDescent="0.3">
      <c r="A94" t="s">
        <v>1022</v>
      </c>
      <c r="B94" s="10" t="s">
        <v>1470</v>
      </c>
    </row>
    <row r="95" spans="1:2" x14ac:dyDescent="0.3">
      <c r="A95" t="s">
        <v>467</v>
      </c>
      <c r="B95" s="10" t="s">
        <v>1471</v>
      </c>
    </row>
    <row r="96" spans="1:2" x14ac:dyDescent="0.3">
      <c r="A96" t="s">
        <v>90</v>
      </c>
      <c r="B96" s="10" t="s">
        <v>1472</v>
      </c>
    </row>
    <row r="97" spans="1:2" x14ac:dyDescent="0.3">
      <c r="A97" t="s">
        <v>187</v>
      </c>
      <c r="B97" s="10" t="s">
        <v>1473</v>
      </c>
    </row>
    <row r="98" spans="1:2" x14ac:dyDescent="0.3">
      <c r="A98" t="s">
        <v>1023</v>
      </c>
      <c r="B98" s="10" t="s">
        <v>1474</v>
      </c>
    </row>
    <row r="99" spans="1:2" x14ac:dyDescent="0.3">
      <c r="A99" t="s">
        <v>1024</v>
      </c>
      <c r="B99" s="10" t="s">
        <v>1475</v>
      </c>
    </row>
    <row r="100" spans="1:2" x14ac:dyDescent="0.3">
      <c r="A100" t="s">
        <v>1025</v>
      </c>
      <c r="B100" s="10" t="s">
        <v>1476</v>
      </c>
    </row>
    <row r="101" spans="1:2" x14ac:dyDescent="0.3">
      <c r="A101" t="s">
        <v>1026</v>
      </c>
      <c r="B101" s="10" t="s">
        <v>1477</v>
      </c>
    </row>
    <row r="102" spans="1:2" x14ac:dyDescent="0.3">
      <c r="A102" t="s">
        <v>1027</v>
      </c>
      <c r="B102" s="10" t="s">
        <v>1478</v>
      </c>
    </row>
    <row r="103" spans="1:2" x14ac:dyDescent="0.3">
      <c r="A103" t="s">
        <v>1028</v>
      </c>
      <c r="B103" s="10" t="s">
        <v>1479</v>
      </c>
    </row>
    <row r="104" spans="1:2" x14ac:dyDescent="0.3">
      <c r="A104" t="s">
        <v>1029</v>
      </c>
      <c r="B104" s="10" t="s">
        <v>1480</v>
      </c>
    </row>
    <row r="105" spans="1:2" x14ac:dyDescent="0.3">
      <c r="A105" t="s">
        <v>1030</v>
      </c>
      <c r="B105" s="10" t="s">
        <v>1481</v>
      </c>
    </row>
    <row r="106" spans="1:2" x14ac:dyDescent="0.3">
      <c r="A106" t="s">
        <v>477</v>
      </c>
      <c r="B106" s="10" t="s">
        <v>1482</v>
      </c>
    </row>
    <row r="107" spans="1:2" x14ac:dyDescent="0.3">
      <c r="A107" t="s">
        <v>1031</v>
      </c>
      <c r="B107" s="10" t="s">
        <v>1483</v>
      </c>
    </row>
    <row r="108" spans="1:2" x14ac:dyDescent="0.3">
      <c r="A108" t="s">
        <v>1032</v>
      </c>
      <c r="B108" s="10" t="s">
        <v>1484</v>
      </c>
    </row>
    <row r="109" spans="1:2" x14ac:dyDescent="0.3">
      <c r="A109" t="s">
        <v>1033</v>
      </c>
      <c r="B109" s="10" t="s">
        <v>1485</v>
      </c>
    </row>
    <row r="110" spans="1:2" x14ac:dyDescent="0.3">
      <c r="A110" t="s">
        <v>1034</v>
      </c>
      <c r="B110" s="10" t="s">
        <v>1486</v>
      </c>
    </row>
    <row r="111" spans="1:2" x14ac:dyDescent="0.3">
      <c r="A111" t="s">
        <v>1035</v>
      </c>
      <c r="B111" s="10" t="s">
        <v>1487</v>
      </c>
    </row>
    <row r="112" spans="1:2" x14ac:dyDescent="0.3">
      <c r="A112" t="s">
        <v>1036</v>
      </c>
      <c r="B112" s="10" t="s">
        <v>1488</v>
      </c>
    </row>
    <row r="113" spans="1:2" x14ac:dyDescent="0.3">
      <c r="A113" t="s">
        <v>1037</v>
      </c>
      <c r="B113" s="10" t="s">
        <v>1489</v>
      </c>
    </row>
    <row r="114" spans="1:2" x14ac:dyDescent="0.3">
      <c r="A114" t="s">
        <v>1038</v>
      </c>
      <c r="B114" s="10" t="s">
        <v>1490</v>
      </c>
    </row>
    <row r="115" spans="1:2" x14ac:dyDescent="0.3">
      <c r="A115" t="s">
        <v>1039</v>
      </c>
      <c r="B115" s="10" t="s">
        <v>1491</v>
      </c>
    </row>
    <row r="116" spans="1:2" x14ac:dyDescent="0.3">
      <c r="A116" t="s">
        <v>1041</v>
      </c>
      <c r="B116" s="10" t="s">
        <v>1492</v>
      </c>
    </row>
    <row r="117" spans="1:2" x14ac:dyDescent="0.3">
      <c r="A117" t="s">
        <v>1042</v>
      </c>
      <c r="B117" s="10" t="s">
        <v>1493</v>
      </c>
    </row>
    <row r="118" spans="1:2" x14ac:dyDescent="0.3">
      <c r="A118" t="s">
        <v>1043</v>
      </c>
      <c r="B118" s="10" t="s">
        <v>1494</v>
      </c>
    </row>
    <row r="119" spans="1:2" x14ac:dyDescent="0.3">
      <c r="A119" t="s">
        <v>1044</v>
      </c>
      <c r="B119" s="10" t="s">
        <v>1495</v>
      </c>
    </row>
    <row r="120" spans="1:2" x14ac:dyDescent="0.3">
      <c r="A120" t="s">
        <v>1045</v>
      </c>
      <c r="B120" s="10" t="s">
        <v>1496</v>
      </c>
    </row>
    <row r="121" spans="1:2" x14ac:dyDescent="0.3">
      <c r="A121" t="s">
        <v>1046</v>
      </c>
      <c r="B121" s="10" t="s">
        <v>1497</v>
      </c>
    </row>
    <row r="122" spans="1:2" x14ac:dyDescent="0.3">
      <c r="A122" t="s">
        <v>1047</v>
      </c>
      <c r="B122" s="10" t="s">
        <v>1498</v>
      </c>
    </row>
    <row r="123" spans="1:2" x14ac:dyDescent="0.3">
      <c r="A123" t="s">
        <v>1048</v>
      </c>
      <c r="B123" s="10" t="s">
        <v>1499</v>
      </c>
    </row>
    <row r="124" spans="1:2" x14ac:dyDescent="0.3">
      <c r="A124" t="s">
        <v>1049</v>
      </c>
      <c r="B124" s="10" t="s">
        <v>1500</v>
      </c>
    </row>
    <row r="125" spans="1:2" x14ac:dyDescent="0.3">
      <c r="A125" t="s">
        <v>1050</v>
      </c>
      <c r="B125" s="10" t="s">
        <v>1501</v>
      </c>
    </row>
    <row r="126" spans="1:2" x14ac:dyDescent="0.3">
      <c r="A126" t="s">
        <v>1051</v>
      </c>
      <c r="B126" s="10" t="s">
        <v>1502</v>
      </c>
    </row>
    <row r="127" spans="1:2" x14ac:dyDescent="0.3">
      <c r="A127" t="s">
        <v>1052</v>
      </c>
      <c r="B127" s="10" t="s">
        <v>1503</v>
      </c>
    </row>
    <row r="128" spans="1:2" x14ac:dyDescent="0.3">
      <c r="A128" t="s">
        <v>1053</v>
      </c>
      <c r="B128" s="10" t="s">
        <v>1504</v>
      </c>
    </row>
    <row r="129" spans="1:2" x14ac:dyDescent="0.3">
      <c r="A129" t="s">
        <v>1054</v>
      </c>
      <c r="B129" s="10" t="s">
        <v>1505</v>
      </c>
    </row>
    <row r="130" spans="1:2" x14ac:dyDescent="0.3">
      <c r="A130" t="s">
        <v>1055</v>
      </c>
      <c r="B130" s="10" t="s">
        <v>1506</v>
      </c>
    </row>
    <row r="131" spans="1:2" x14ac:dyDescent="0.3">
      <c r="A131" t="s">
        <v>1056</v>
      </c>
      <c r="B131" s="10" t="s">
        <v>1507</v>
      </c>
    </row>
    <row r="132" spans="1:2" x14ac:dyDescent="0.3">
      <c r="A132" t="s">
        <v>1057</v>
      </c>
      <c r="B132" s="10" t="s">
        <v>1508</v>
      </c>
    </row>
    <row r="133" spans="1:2" x14ac:dyDescent="0.3">
      <c r="A133" t="s">
        <v>1058</v>
      </c>
      <c r="B133" s="10" t="s">
        <v>1509</v>
      </c>
    </row>
    <row r="134" spans="1:2" x14ac:dyDescent="0.3">
      <c r="A134" t="s">
        <v>1059</v>
      </c>
      <c r="B134" s="10" t="s">
        <v>1510</v>
      </c>
    </row>
    <row r="135" spans="1:2" x14ac:dyDescent="0.3">
      <c r="A135" t="s">
        <v>1061</v>
      </c>
      <c r="B135" s="10" t="s">
        <v>1511</v>
      </c>
    </row>
    <row r="136" spans="1:2" x14ac:dyDescent="0.3">
      <c r="A136" t="s">
        <v>1062</v>
      </c>
      <c r="B136" s="10" t="s">
        <v>1512</v>
      </c>
    </row>
    <row r="137" spans="1:2" x14ac:dyDescent="0.3">
      <c r="A137" t="s">
        <v>1063</v>
      </c>
      <c r="B137" s="10" t="s">
        <v>1513</v>
      </c>
    </row>
    <row r="138" spans="1:2" x14ac:dyDescent="0.3">
      <c r="A138" t="s">
        <v>1064</v>
      </c>
      <c r="B138" s="10" t="s">
        <v>1514</v>
      </c>
    </row>
    <row r="139" spans="1:2" x14ac:dyDescent="0.3">
      <c r="A139" t="s">
        <v>1065</v>
      </c>
      <c r="B139" s="10" t="s">
        <v>1515</v>
      </c>
    </row>
    <row r="140" spans="1:2" x14ac:dyDescent="0.3">
      <c r="A140" t="s">
        <v>1066</v>
      </c>
      <c r="B140" s="10" t="s">
        <v>1516</v>
      </c>
    </row>
    <row r="141" spans="1:2" x14ac:dyDescent="0.3">
      <c r="A141" t="s">
        <v>1067</v>
      </c>
      <c r="B141" s="10" t="s">
        <v>1517</v>
      </c>
    </row>
    <row r="142" spans="1:2" x14ac:dyDescent="0.3">
      <c r="A142" t="s">
        <v>1068</v>
      </c>
      <c r="B142" s="10" t="s">
        <v>1518</v>
      </c>
    </row>
    <row r="143" spans="1:2" x14ac:dyDescent="0.3">
      <c r="A143" t="s">
        <v>1069</v>
      </c>
      <c r="B143" s="10" t="s">
        <v>1519</v>
      </c>
    </row>
    <row r="144" spans="1:2" x14ac:dyDescent="0.3">
      <c r="A144" t="s">
        <v>1070</v>
      </c>
      <c r="B144" s="10" t="s">
        <v>1520</v>
      </c>
    </row>
    <row r="145" spans="1:2" x14ac:dyDescent="0.3">
      <c r="A145" t="s">
        <v>1071</v>
      </c>
      <c r="B145" s="10" t="s">
        <v>1521</v>
      </c>
    </row>
    <row r="146" spans="1:2" x14ac:dyDescent="0.3">
      <c r="A146" t="s">
        <v>1072</v>
      </c>
      <c r="B146" s="10" t="s">
        <v>1522</v>
      </c>
    </row>
    <row r="147" spans="1:2" x14ac:dyDescent="0.3">
      <c r="A147" t="s">
        <v>1073</v>
      </c>
      <c r="B147" s="10" t="s">
        <v>1523</v>
      </c>
    </row>
    <row r="148" spans="1:2" x14ac:dyDescent="0.3">
      <c r="A148" t="s">
        <v>1075</v>
      </c>
      <c r="B148" s="10" t="s">
        <v>1524</v>
      </c>
    </row>
    <row r="149" spans="1:2" x14ac:dyDescent="0.3">
      <c r="A149" t="s">
        <v>1076</v>
      </c>
      <c r="B149" s="10" t="s">
        <v>1525</v>
      </c>
    </row>
    <row r="150" spans="1:2" x14ac:dyDescent="0.3">
      <c r="A150" t="s">
        <v>1077</v>
      </c>
      <c r="B150" s="10" t="s">
        <v>1526</v>
      </c>
    </row>
    <row r="151" spans="1:2" x14ac:dyDescent="0.3">
      <c r="A151" t="s">
        <v>1078</v>
      </c>
      <c r="B151" s="10" t="s">
        <v>1527</v>
      </c>
    </row>
    <row r="152" spans="1:2" x14ac:dyDescent="0.3">
      <c r="A152" t="s">
        <v>1079</v>
      </c>
      <c r="B152" s="10" t="s">
        <v>1528</v>
      </c>
    </row>
    <row r="153" spans="1:2" x14ac:dyDescent="0.3">
      <c r="A153" t="s">
        <v>1080</v>
      </c>
      <c r="B153" s="10" t="s">
        <v>1529</v>
      </c>
    </row>
    <row r="154" spans="1:2" x14ac:dyDescent="0.3">
      <c r="A154" t="s">
        <v>1082</v>
      </c>
      <c r="B154" s="10" t="s">
        <v>1530</v>
      </c>
    </row>
    <row r="155" spans="1:2" x14ac:dyDescent="0.3">
      <c r="A155" t="s">
        <v>1083</v>
      </c>
      <c r="B155" s="10" t="s">
        <v>1531</v>
      </c>
    </row>
    <row r="156" spans="1:2" x14ac:dyDescent="0.3">
      <c r="A156" t="s">
        <v>1084</v>
      </c>
      <c r="B156" s="10" t="s">
        <v>1532</v>
      </c>
    </row>
    <row r="157" spans="1:2" x14ac:dyDescent="0.3">
      <c r="A157" t="s">
        <v>486</v>
      </c>
      <c r="B157" s="10" t="s">
        <v>1533</v>
      </c>
    </row>
    <row r="158" spans="1:2" x14ac:dyDescent="0.3">
      <c r="A158" t="s">
        <v>1085</v>
      </c>
      <c r="B158" s="10" t="s">
        <v>1534</v>
      </c>
    </row>
    <row r="159" spans="1:2" x14ac:dyDescent="0.3">
      <c r="A159" t="s">
        <v>1086</v>
      </c>
      <c r="B159" s="10" t="s">
        <v>1535</v>
      </c>
    </row>
    <row r="160" spans="1:2" x14ac:dyDescent="0.3">
      <c r="A160" t="s">
        <v>1087</v>
      </c>
      <c r="B160" s="10" t="s">
        <v>1536</v>
      </c>
    </row>
    <row r="161" spans="1:2" x14ac:dyDescent="0.3">
      <c r="A161" t="s">
        <v>1088</v>
      </c>
      <c r="B161" s="10" t="s">
        <v>1537</v>
      </c>
    </row>
    <row r="162" spans="1:2" x14ac:dyDescent="0.3">
      <c r="A162" t="s">
        <v>1089</v>
      </c>
      <c r="B162" s="10" t="s">
        <v>1538</v>
      </c>
    </row>
    <row r="163" spans="1:2" x14ac:dyDescent="0.3">
      <c r="A163" t="s">
        <v>1091</v>
      </c>
      <c r="B163" s="10" t="s">
        <v>1539</v>
      </c>
    </row>
    <row r="164" spans="1:2" x14ac:dyDescent="0.3">
      <c r="A164" t="s">
        <v>1092</v>
      </c>
      <c r="B164" s="10" t="s">
        <v>1540</v>
      </c>
    </row>
    <row r="165" spans="1:2" x14ac:dyDescent="0.3">
      <c r="A165" t="s">
        <v>1093</v>
      </c>
      <c r="B165" s="10" t="s">
        <v>1541</v>
      </c>
    </row>
    <row r="166" spans="1:2" x14ac:dyDescent="0.3">
      <c r="A166" t="s">
        <v>1094</v>
      </c>
      <c r="B166" s="10" t="s">
        <v>1542</v>
      </c>
    </row>
    <row r="167" spans="1:2" x14ac:dyDescent="0.3">
      <c r="A167" t="s">
        <v>1096</v>
      </c>
      <c r="B167" s="10" t="s">
        <v>1543</v>
      </c>
    </row>
    <row r="168" spans="1:2" x14ac:dyDescent="0.3">
      <c r="A168" t="s">
        <v>1097</v>
      </c>
      <c r="B168" s="10" t="s">
        <v>1544</v>
      </c>
    </row>
    <row r="169" spans="1:2" x14ac:dyDescent="0.3">
      <c r="A169" t="s">
        <v>1098</v>
      </c>
      <c r="B169" s="10" t="s">
        <v>1545</v>
      </c>
    </row>
    <row r="170" spans="1:2" x14ac:dyDescent="0.3">
      <c r="A170" t="s">
        <v>1099</v>
      </c>
      <c r="B170" s="10" t="s">
        <v>1546</v>
      </c>
    </row>
    <row r="171" spans="1:2" x14ac:dyDescent="0.3">
      <c r="A171" t="s">
        <v>1100</v>
      </c>
      <c r="B171" s="10" t="s">
        <v>1547</v>
      </c>
    </row>
    <row r="172" spans="1:2" x14ac:dyDescent="0.3">
      <c r="A172" t="s">
        <v>1101</v>
      </c>
      <c r="B172" s="10" t="s">
        <v>1548</v>
      </c>
    </row>
    <row r="173" spans="1:2" x14ac:dyDescent="0.3">
      <c r="A173" t="s">
        <v>1102</v>
      </c>
      <c r="B173" s="10" t="s">
        <v>1549</v>
      </c>
    </row>
    <row r="174" spans="1:2" x14ac:dyDescent="0.3">
      <c r="A174" t="s">
        <v>1103</v>
      </c>
      <c r="B174" s="10" t="s">
        <v>1550</v>
      </c>
    </row>
    <row r="175" spans="1:2" x14ac:dyDescent="0.3">
      <c r="A175" t="s">
        <v>1104</v>
      </c>
      <c r="B175" s="10" t="s">
        <v>1551</v>
      </c>
    </row>
    <row r="176" spans="1:2" x14ac:dyDescent="0.3">
      <c r="A176" t="s">
        <v>1105</v>
      </c>
      <c r="B176" s="10" t="s">
        <v>1552</v>
      </c>
    </row>
    <row r="177" spans="1:2" x14ac:dyDescent="0.3">
      <c r="A177" t="s">
        <v>1106</v>
      </c>
      <c r="B177" s="10" t="s">
        <v>1553</v>
      </c>
    </row>
    <row r="178" spans="1:2" x14ac:dyDescent="0.3">
      <c r="A178" t="s">
        <v>1107</v>
      </c>
      <c r="B178" s="10" t="s">
        <v>1554</v>
      </c>
    </row>
    <row r="179" spans="1:2" x14ac:dyDescent="0.3">
      <c r="A179" t="s">
        <v>1108</v>
      </c>
      <c r="B179" s="10" t="s">
        <v>1555</v>
      </c>
    </row>
    <row r="180" spans="1:2" x14ac:dyDescent="0.3">
      <c r="A180" t="s">
        <v>1109</v>
      </c>
      <c r="B180" s="10" t="s">
        <v>1556</v>
      </c>
    </row>
    <row r="181" spans="1:2" x14ac:dyDescent="0.3">
      <c r="A181" t="s">
        <v>1110</v>
      </c>
      <c r="B181" s="10" t="s">
        <v>1557</v>
      </c>
    </row>
    <row r="182" spans="1:2" x14ac:dyDescent="0.3">
      <c r="A182" t="s">
        <v>1111</v>
      </c>
      <c r="B182" s="10" t="s">
        <v>1558</v>
      </c>
    </row>
    <row r="183" spans="1:2" x14ac:dyDescent="0.3">
      <c r="A183" t="s">
        <v>1112</v>
      </c>
      <c r="B183" s="10" t="s">
        <v>1559</v>
      </c>
    </row>
    <row r="184" spans="1:2" x14ac:dyDescent="0.3">
      <c r="A184" t="s">
        <v>1113</v>
      </c>
      <c r="B184" s="10" t="s">
        <v>1560</v>
      </c>
    </row>
    <row r="185" spans="1:2" x14ac:dyDescent="0.3">
      <c r="A185" t="s">
        <v>1114</v>
      </c>
      <c r="B185" s="10" t="s">
        <v>1561</v>
      </c>
    </row>
    <row r="186" spans="1:2" x14ac:dyDescent="0.3">
      <c r="A186" t="s">
        <v>1115</v>
      </c>
      <c r="B186" s="10" t="s">
        <v>1562</v>
      </c>
    </row>
    <row r="187" spans="1:2" x14ac:dyDescent="0.3">
      <c r="A187" t="s">
        <v>1116</v>
      </c>
      <c r="B187" s="10" t="s">
        <v>1563</v>
      </c>
    </row>
    <row r="188" spans="1:2" x14ac:dyDescent="0.3">
      <c r="A188" t="s">
        <v>1118</v>
      </c>
      <c r="B188" s="10" t="s">
        <v>1564</v>
      </c>
    </row>
    <row r="189" spans="1:2" x14ac:dyDescent="0.3">
      <c r="A189" t="s">
        <v>1119</v>
      </c>
      <c r="B189" s="10" t="s">
        <v>1565</v>
      </c>
    </row>
    <row r="190" spans="1:2" x14ac:dyDescent="0.3">
      <c r="A190" t="s">
        <v>1120</v>
      </c>
      <c r="B190" s="10" t="s">
        <v>1566</v>
      </c>
    </row>
    <row r="191" spans="1:2" x14ac:dyDescent="0.3">
      <c r="A191" t="s">
        <v>1121</v>
      </c>
      <c r="B191" s="10" t="s">
        <v>1567</v>
      </c>
    </row>
    <row r="192" spans="1:2" x14ac:dyDescent="0.3">
      <c r="A192" t="s">
        <v>1122</v>
      </c>
      <c r="B192" s="10" t="s">
        <v>1568</v>
      </c>
    </row>
    <row r="193" spans="1:2" x14ac:dyDescent="0.3">
      <c r="A193" t="s">
        <v>1123</v>
      </c>
      <c r="B193" s="10" t="s">
        <v>1569</v>
      </c>
    </row>
    <row r="194" spans="1:2" x14ac:dyDescent="0.3">
      <c r="A194" t="s">
        <v>1124</v>
      </c>
      <c r="B194" s="10" t="s">
        <v>1570</v>
      </c>
    </row>
    <row r="195" spans="1:2" x14ac:dyDescent="0.3">
      <c r="A195" t="s">
        <v>1125</v>
      </c>
      <c r="B195" s="10" t="s">
        <v>1571</v>
      </c>
    </row>
    <row r="196" spans="1:2" x14ac:dyDescent="0.3">
      <c r="A196" t="s">
        <v>1126</v>
      </c>
      <c r="B196" s="10" t="s">
        <v>1572</v>
      </c>
    </row>
    <row r="197" spans="1:2" x14ac:dyDescent="0.3">
      <c r="A197" t="s">
        <v>1127</v>
      </c>
      <c r="B197" s="10" t="s">
        <v>1573</v>
      </c>
    </row>
    <row r="198" spans="1:2" x14ac:dyDescent="0.3">
      <c r="A198" t="s">
        <v>1128</v>
      </c>
      <c r="B198" s="10" t="s">
        <v>1574</v>
      </c>
    </row>
    <row r="199" spans="1:2" x14ac:dyDescent="0.3">
      <c r="A199" t="s">
        <v>1129</v>
      </c>
      <c r="B199" s="10" t="s">
        <v>1575</v>
      </c>
    </row>
    <row r="200" spans="1:2" x14ac:dyDescent="0.3">
      <c r="A200" t="s">
        <v>1130</v>
      </c>
      <c r="B200" s="10" t="s">
        <v>1576</v>
      </c>
    </row>
    <row r="201" spans="1:2" x14ac:dyDescent="0.3">
      <c r="A201" t="s">
        <v>1131</v>
      </c>
      <c r="B201" s="10" t="s">
        <v>1577</v>
      </c>
    </row>
    <row r="202" spans="1:2" x14ac:dyDescent="0.3">
      <c r="A202" t="s">
        <v>1132</v>
      </c>
      <c r="B202" s="10" t="s">
        <v>1578</v>
      </c>
    </row>
    <row r="203" spans="1:2" x14ac:dyDescent="0.3">
      <c r="A203" t="s">
        <v>1133</v>
      </c>
      <c r="B203" s="10" t="s">
        <v>1579</v>
      </c>
    </row>
    <row r="204" spans="1:2" x14ac:dyDescent="0.3">
      <c r="A204" t="s">
        <v>1135</v>
      </c>
      <c r="B204" s="10" t="s">
        <v>1580</v>
      </c>
    </row>
    <row r="205" spans="1:2" x14ac:dyDescent="0.3">
      <c r="A205" t="s">
        <v>1136</v>
      </c>
      <c r="B205" s="10" t="s">
        <v>1581</v>
      </c>
    </row>
    <row r="206" spans="1:2" x14ac:dyDescent="0.3">
      <c r="A206" t="s">
        <v>1137</v>
      </c>
      <c r="B206" s="10" t="s">
        <v>1582</v>
      </c>
    </row>
    <row r="207" spans="1:2" x14ac:dyDescent="0.3">
      <c r="A207" t="s">
        <v>1138</v>
      </c>
      <c r="B207" s="10" t="s">
        <v>1583</v>
      </c>
    </row>
    <row r="208" spans="1:2" x14ac:dyDescent="0.3">
      <c r="A208" t="s">
        <v>1139</v>
      </c>
      <c r="B208" s="10" t="s">
        <v>1584</v>
      </c>
    </row>
    <row r="209" spans="1:2" x14ac:dyDescent="0.3">
      <c r="A209" t="s">
        <v>1140</v>
      </c>
      <c r="B209" s="10" t="s">
        <v>1585</v>
      </c>
    </row>
    <row r="210" spans="1:2" x14ac:dyDescent="0.3">
      <c r="A210" t="s">
        <v>1141</v>
      </c>
      <c r="B210" s="10" t="s">
        <v>1586</v>
      </c>
    </row>
    <row r="211" spans="1:2" x14ac:dyDescent="0.3">
      <c r="A211" t="s">
        <v>1142</v>
      </c>
      <c r="B211" s="10" t="s">
        <v>1587</v>
      </c>
    </row>
    <row r="212" spans="1:2" x14ac:dyDescent="0.3">
      <c r="A212" t="s">
        <v>1143</v>
      </c>
      <c r="B212" s="10" t="s">
        <v>1588</v>
      </c>
    </row>
    <row r="213" spans="1:2" x14ac:dyDescent="0.3">
      <c r="A213" t="s">
        <v>1144</v>
      </c>
      <c r="B213" s="10" t="s">
        <v>1589</v>
      </c>
    </row>
    <row r="214" spans="1:2" x14ac:dyDescent="0.3">
      <c r="A214" t="s">
        <v>1145</v>
      </c>
      <c r="B214" s="10" t="s">
        <v>1590</v>
      </c>
    </row>
    <row r="215" spans="1:2" x14ac:dyDescent="0.3">
      <c r="A215" t="s">
        <v>1146</v>
      </c>
      <c r="B215" s="10" t="s">
        <v>1591</v>
      </c>
    </row>
    <row r="216" spans="1:2" x14ac:dyDescent="0.3">
      <c r="A216" t="s">
        <v>1148</v>
      </c>
      <c r="B216" s="10" t="s">
        <v>1592</v>
      </c>
    </row>
    <row r="217" spans="1:2" x14ac:dyDescent="0.3">
      <c r="A217" t="s">
        <v>1149</v>
      </c>
      <c r="B217" s="10" t="s">
        <v>1593</v>
      </c>
    </row>
    <row r="218" spans="1:2" x14ac:dyDescent="0.3">
      <c r="A218" t="s">
        <v>1150</v>
      </c>
      <c r="B218" s="10" t="s">
        <v>1594</v>
      </c>
    </row>
    <row r="219" spans="1:2" x14ac:dyDescent="0.3">
      <c r="A219" t="s">
        <v>1151</v>
      </c>
      <c r="B219" s="10" t="s">
        <v>1595</v>
      </c>
    </row>
    <row r="220" spans="1:2" x14ac:dyDescent="0.3">
      <c r="A220" t="s">
        <v>1152</v>
      </c>
      <c r="B220" s="10" t="s">
        <v>1596</v>
      </c>
    </row>
    <row r="221" spans="1:2" x14ac:dyDescent="0.3">
      <c r="A221" t="s">
        <v>1153</v>
      </c>
      <c r="B221" s="10" t="s">
        <v>1597</v>
      </c>
    </row>
    <row r="222" spans="1:2" x14ac:dyDescent="0.3">
      <c r="A222" t="s">
        <v>1154</v>
      </c>
      <c r="B222" s="10" t="s">
        <v>1598</v>
      </c>
    </row>
    <row r="223" spans="1:2" x14ac:dyDescent="0.3">
      <c r="A223" t="s">
        <v>1155</v>
      </c>
      <c r="B223" s="10" t="s">
        <v>1599</v>
      </c>
    </row>
    <row r="224" spans="1:2" x14ac:dyDescent="0.3">
      <c r="A224" t="s">
        <v>1156</v>
      </c>
      <c r="B224" s="10" t="s">
        <v>1600</v>
      </c>
    </row>
    <row r="225" spans="1:2" x14ac:dyDescent="0.3">
      <c r="A225" t="s">
        <v>1157</v>
      </c>
      <c r="B225" s="10" t="s">
        <v>1601</v>
      </c>
    </row>
    <row r="226" spans="1:2" x14ac:dyDescent="0.3">
      <c r="A226" t="s">
        <v>1158</v>
      </c>
      <c r="B226" s="10" t="s">
        <v>1602</v>
      </c>
    </row>
    <row r="227" spans="1:2" x14ac:dyDescent="0.3">
      <c r="A227" t="s">
        <v>1159</v>
      </c>
      <c r="B227" s="10" t="s">
        <v>1603</v>
      </c>
    </row>
    <row r="228" spans="1:2" x14ac:dyDescent="0.3">
      <c r="A228" t="s">
        <v>1160</v>
      </c>
      <c r="B228" s="10" t="s">
        <v>1604</v>
      </c>
    </row>
    <row r="229" spans="1:2" x14ac:dyDescent="0.3">
      <c r="A229" t="s">
        <v>1162</v>
      </c>
      <c r="B229" s="10" t="s">
        <v>1605</v>
      </c>
    </row>
    <row r="230" spans="1:2" x14ac:dyDescent="0.3">
      <c r="A230" t="s">
        <v>1163</v>
      </c>
      <c r="B230" s="10" t="s">
        <v>1606</v>
      </c>
    </row>
    <row r="231" spans="1:2" x14ac:dyDescent="0.3">
      <c r="A231" t="s">
        <v>1164</v>
      </c>
      <c r="B231" s="10" t="s">
        <v>1607</v>
      </c>
    </row>
    <row r="232" spans="1:2" x14ac:dyDescent="0.3">
      <c r="A232" t="s">
        <v>1165</v>
      </c>
      <c r="B232" s="10" t="s">
        <v>1608</v>
      </c>
    </row>
    <row r="233" spans="1:2" x14ac:dyDescent="0.3">
      <c r="A233" t="s">
        <v>1166</v>
      </c>
      <c r="B233" s="10" t="s">
        <v>1609</v>
      </c>
    </row>
    <row r="234" spans="1:2" x14ac:dyDescent="0.3">
      <c r="A234" t="s">
        <v>1167</v>
      </c>
      <c r="B234" s="10" t="s">
        <v>1610</v>
      </c>
    </row>
    <row r="235" spans="1:2" x14ac:dyDescent="0.3">
      <c r="A235" t="s">
        <v>1168</v>
      </c>
      <c r="B235" s="10" t="s">
        <v>1611</v>
      </c>
    </row>
    <row r="236" spans="1:2" x14ac:dyDescent="0.3">
      <c r="A236" t="s">
        <v>1170</v>
      </c>
      <c r="B236" s="10" t="s">
        <v>1612</v>
      </c>
    </row>
    <row r="237" spans="1:2" x14ac:dyDescent="0.3">
      <c r="A237" t="s">
        <v>1171</v>
      </c>
      <c r="B237" s="10" t="s">
        <v>1613</v>
      </c>
    </row>
    <row r="238" spans="1:2" x14ac:dyDescent="0.3">
      <c r="A238" t="s">
        <v>1172</v>
      </c>
      <c r="B238" s="10" t="s">
        <v>1614</v>
      </c>
    </row>
    <row r="239" spans="1:2" x14ac:dyDescent="0.3">
      <c r="A239" t="s">
        <v>1173</v>
      </c>
      <c r="B239" s="10" t="s">
        <v>1615</v>
      </c>
    </row>
    <row r="240" spans="1:2" x14ac:dyDescent="0.3">
      <c r="A240" t="s">
        <v>1174</v>
      </c>
      <c r="B240" s="10" t="s">
        <v>1616</v>
      </c>
    </row>
    <row r="241" spans="1:2" x14ac:dyDescent="0.3">
      <c r="A241" t="s">
        <v>1175</v>
      </c>
      <c r="B241" s="10" t="s">
        <v>1617</v>
      </c>
    </row>
    <row r="242" spans="1:2" x14ac:dyDescent="0.3">
      <c r="A242" t="s">
        <v>1176</v>
      </c>
      <c r="B242" s="10" t="s">
        <v>1618</v>
      </c>
    </row>
    <row r="243" spans="1:2" x14ac:dyDescent="0.3">
      <c r="A243" t="s">
        <v>1177</v>
      </c>
      <c r="B243" s="10" t="s">
        <v>1619</v>
      </c>
    </row>
    <row r="244" spans="1:2" x14ac:dyDescent="0.3">
      <c r="A244" t="s">
        <v>1178</v>
      </c>
      <c r="B244" s="10" t="s">
        <v>1620</v>
      </c>
    </row>
    <row r="245" spans="1:2" x14ac:dyDescent="0.3">
      <c r="A245" t="s">
        <v>1179</v>
      </c>
      <c r="B245" s="10" t="s">
        <v>1621</v>
      </c>
    </row>
    <row r="246" spans="1:2" x14ac:dyDescent="0.3">
      <c r="A246" t="s">
        <v>1180</v>
      </c>
      <c r="B246" s="10" t="s">
        <v>1622</v>
      </c>
    </row>
    <row r="247" spans="1:2" x14ac:dyDescent="0.3">
      <c r="A247" t="s">
        <v>1182</v>
      </c>
      <c r="B247" s="10" t="s">
        <v>1623</v>
      </c>
    </row>
    <row r="248" spans="1:2" x14ac:dyDescent="0.3">
      <c r="A248" t="s">
        <v>1183</v>
      </c>
      <c r="B248" s="10" t="s">
        <v>1624</v>
      </c>
    </row>
    <row r="249" spans="1:2" x14ac:dyDescent="0.3">
      <c r="A249" t="s">
        <v>1184</v>
      </c>
      <c r="B249" s="10" t="s">
        <v>1625</v>
      </c>
    </row>
    <row r="250" spans="1:2" x14ac:dyDescent="0.3">
      <c r="A250" t="s">
        <v>1185</v>
      </c>
      <c r="B250" s="10" t="s">
        <v>1626</v>
      </c>
    </row>
    <row r="251" spans="1:2" x14ac:dyDescent="0.3">
      <c r="A251" t="s">
        <v>1186</v>
      </c>
      <c r="B251" s="10" t="s">
        <v>1627</v>
      </c>
    </row>
    <row r="252" spans="1:2" x14ac:dyDescent="0.3">
      <c r="A252" t="s">
        <v>1188</v>
      </c>
      <c r="B252" s="10" t="s">
        <v>1628</v>
      </c>
    </row>
    <row r="253" spans="1:2" x14ac:dyDescent="0.3">
      <c r="A253" t="s">
        <v>1189</v>
      </c>
      <c r="B253" s="10" t="s">
        <v>1629</v>
      </c>
    </row>
    <row r="254" spans="1:2" x14ac:dyDescent="0.3">
      <c r="A254" t="s">
        <v>1190</v>
      </c>
      <c r="B254" s="10" t="s">
        <v>1630</v>
      </c>
    </row>
    <row r="255" spans="1:2" x14ac:dyDescent="0.3">
      <c r="A255" t="s">
        <v>1191</v>
      </c>
      <c r="B255" s="10" t="s">
        <v>1631</v>
      </c>
    </row>
    <row r="256" spans="1:2" x14ac:dyDescent="0.3">
      <c r="A256" t="s">
        <v>1192</v>
      </c>
      <c r="B256" s="10" t="s">
        <v>1632</v>
      </c>
    </row>
    <row r="257" spans="1:2" x14ac:dyDescent="0.3">
      <c r="A257" t="s">
        <v>1193</v>
      </c>
      <c r="B257" s="10" t="s">
        <v>1633</v>
      </c>
    </row>
    <row r="258" spans="1:2" x14ac:dyDescent="0.3">
      <c r="A258" t="s">
        <v>1195</v>
      </c>
      <c r="B258" s="10" t="s">
        <v>1634</v>
      </c>
    </row>
    <row r="259" spans="1:2" x14ac:dyDescent="0.3">
      <c r="A259" t="s">
        <v>1196</v>
      </c>
      <c r="B259" s="10" t="s">
        <v>1635</v>
      </c>
    </row>
    <row r="260" spans="1:2" x14ac:dyDescent="0.3">
      <c r="A260" t="s">
        <v>1198</v>
      </c>
      <c r="B260" s="10" t="s">
        <v>1636</v>
      </c>
    </row>
    <row r="261" spans="1:2" x14ac:dyDescent="0.3">
      <c r="A261" t="s">
        <v>1199</v>
      </c>
      <c r="B261" s="10" t="s">
        <v>1637</v>
      </c>
    </row>
    <row r="262" spans="1:2" x14ac:dyDescent="0.3">
      <c r="A262" t="s">
        <v>1201</v>
      </c>
      <c r="B262" s="10" t="s">
        <v>1638</v>
      </c>
    </row>
    <row r="263" spans="1:2" x14ac:dyDescent="0.3">
      <c r="A263" t="s">
        <v>1202</v>
      </c>
      <c r="B263" s="10" t="s">
        <v>1639</v>
      </c>
    </row>
    <row r="264" spans="1:2" x14ac:dyDescent="0.3">
      <c r="A264" t="s">
        <v>1203</v>
      </c>
      <c r="B264" s="10" t="s">
        <v>1640</v>
      </c>
    </row>
    <row r="265" spans="1:2" x14ac:dyDescent="0.3">
      <c r="A265" t="s">
        <v>1204</v>
      </c>
      <c r="B265" s="10" t="s">
        <v>1641</v>
      </c>
    </row>
    <row r="266" spans="1:2" x14ac:dyDescent="0.3">
      <c r="A266" t="s">
        <v>1205</v>
      </c>
      <c r="B266" s="10" t="s">
        <v>1642</v>
      </c>
    </row>
    <row r="267" spans="1:2" x14ac:dyDescent="0.3">
      <c r="A267" t="s">
        <v>1207</v>
      </c>
      <c r="B267" s="10" t="s">
        <v>1643</v>
      </c>
    </row>
    <row r="268" spans="1:2" x14ac:dyDescent="0.3">
      <c r="A268" t="s">
        <v>1208</v>
      </c>
      <c r="B268" s="10" t="s">
        <v>1644</v>
      </c>
    </row>
    <row r="269" spans="1:2" x14ac:dyDescent="0.3">
      <c r="A269" t="s">
        <v>1209</v>
      </c>
      <c r="B269" s="10" t="s">
        <v>1645</v>
      </c>
    </row>
    <row r="270" spans="1:2" x14ac:dyDescent="0.3">
      <c r="A270" t="s">
        <v>1210</v>
      </c>
      <c r="B270" s="10" t="s">
        <v>1646</v>
      </c>
    </row>
    <row r="271" spans="1:2" x14ac:dyDescent="0.3">
      <c r="A271" t="s">
        <v>1211</v>
      </c>
      <c r="B271" s="10" t="s">
        <v>1647</v>
      </c>
    </row>
    <row r="272" spans="1:2" x14ac:dyDescent="0.3">
      <c r="A272" t="s">
        <v>1212</v>
      </c>
      <c r="B272" s="10" t="s">
        <v>1648</v>
      </c>
    </row>
    <row r="273" spans="1:2" x14ac:dyDescent="0.3">
      <c r="A273" t="s">
        <v>1213</v>
      </c>
      <c r="B273" s="10" t="s">
        <v>1649</v>
      </c>
    </row>
    <row r="274" spans="1:2" x14ac:dyDescent="0.3">
      <c r="A274" t="s">
        <v>1215</v>
      </c>
      <c r="B274" s="10" t="s">
        <v>1650</v>
      </c>
    </row>
    <row r="275" spans="1:2" x14ac:dyDescent="0.3">
      <c r="A275" t="s">
        <v>1216</v>
      </c>
      <c r="B275" s="10" t="s">
        <v>1651</v>
      </c>
    </row>
    <row r="276" spans="1:2" x14ac:dyDescent="0.3">
      <c r="A276" t="s">
        <v>1217</v>
      </c>
      <c r="B276" s="10" t="s">
        <v>1652</v>
      </c>
    </row>
    <row r="277" spans="1:2" x14ac:dyDescent="0.3">
      <c r="A277" t="s">
        <v>1218</v>
      </c>
      <c r="B277" s="10" t="s">
        <v>1653</v>
      </c>
    </row>
    <row r="278" spans="1:2" x14ac:dyDescent="0.3">
      <c r="A278" t="s">
        <v>1219</v>
      </c>
      <c r="B278" s="10" t="s">
        <v>1654</v>
      </c>
    </row>
    <row r="279" spans="1:2" x14ac:dyDescent="0.3">
      <c r="A279" t="s">
        <v>1220</v>
      </c>
      <c r="B279" s="10" t="s">
        <v>1655</v>
      </c>
    </row>
    <row r="280" spans="1:2" x14ac:dyDescent="0.3">
      <c r="A280" t="s">
        <v>1221</v>
      </c>
      <c r="B280" s="10" t="s">
        <v>1656</v>
      </c>
    </row>
    <row r="281" spans="1:2" x14ac:dyDescent="0.3">
      <c r="A281" t="s">
        <v>1222</v>
      </c>
      <c r="B281" s="10" t="s">
        <v>1657</v>
      </c>
    </row>
    <row r="282" spans="1:2" x14ac:dyDescent="0.3">
      <c r="A282" t="s">
        <v>1223</v>
      </c>
      <c r="B282" s="10" t="s">
        <v>1658</v>
      </c>
    </row>
    <row r="283" spans="1:2" x14ac:dyDescent="0.3">
      <c r="A283" t="s">
        <v>1224</v>
      </c>
      <c r="B283" s="10" t="s">
        <v>1659</v>
      </c>
    </row>
    <row r="284" spans="1:2" x14ac:dyDescent="0.3">
      <c r="A284" t="s">
        <v>1225</v>
      </c>
      <c r="B284" s="10" t="s">
        <v>1660</v>
      </c>
    </row>
    <row r="285" spans="1:2" x14ac:dyDescent="0.3">
      <c r="A285" t="s">
        <v>1226</v>
      </c>
      <c r="B285" s="10" t="s">
        <v>1661</v>
      </c>
    </row>
    <row r="286" spans="1:2" x14ac:dyDescent="0.3">
      <c r="A286" t="s">
        <v>1227</v>
      </c>
      <c r="B286" s="10" t="s">
        <v>1662</v>
      </c>
    </row>
    <row r="287" spans="1:2" x14ac:dyDescent="0.3">
      <c r="A287" t="s">
        <v>1229</v>
      </c>
      <c r="B287" s="10" t="s">
        <v>1663</v>
      </c>
    </row>
    <row r="288" spans="1:2" x14ac:dyDescent="0.3">
      <c r="A288" t="s">
        <v>1230</v>
      </c>
      <c r="B288" s="10" t="s">
        <v>1664</v>
      </c>
    </row>
    <row r="289" spans="1:2" x14ac:dyDescent="0.3">
      <c r="A289" t="s">
        <v>1231</v>
      </c>
      <c r="B289" s="10" t="s">
        <v>1665</v>
      </c>
    </row>
    <row r="290" spans="1:2" x14ac:dyDescent="0.3">
      <c r="A290" t="s">
        <v>1232</v>
      </c>
      <c r="B290" s="10" t="s">
        <v>1666</v>
      </c>
    </row>
    <row r="291" spans="1:2" x14ac:dyDescent="0.3">
      <c r="A291" t="s">
        <v>1233</v>
      </c>
      <c r="B291" s="10" t="s">
        <v>1667</v>
      </c>
    </row>
    <row r="292" spans="1:2" x14ac:dyDescent="0.3">
      <c r="A292" t="s">
        <v>1234</v>
      </c>
      <c r="B292" s="10" t="s">
        <v>1668</v>
      </c>
    </row>
    <row r="293" spans="1:2" x14ac:dyDescent="0.3">
      <c r="A293" t="s">
        <v>1236</v>
      </c>
      <c r="B293" s="10" t="s">
        <v>1669</v>
      </c>
    </row>
    <row r="294" spans="1:2" x14ac:dyDescent="0.3">
      <c r="A294" t="s">
        <v>1237</v>
      </c>
      <c r="B294" s="10" t="s">
        <v>1670</v>
      </c>
    </row>
    <row r="295" spans="1:2" x14ac:dyDescent="0.3">
      <c r="A295" t="s">
        <v>1238</v>
      </c>
      <c r="B295" s="10" t="s">
        <v>1671</v>
      </c>
    </row>
    <row r="296" spans="1:2" x14ac:dyDescent="0.3">
      <c r="A296" t="s">
        <v>1239</v>
      </c>
      <c r="B296" s="10" t="s">
        <v>1672</v>
      </c>
    </row>
    <row r="297" spans="1:2" x14ac:dyDescent="0.3">
      <c r="A297" t="s">
        <v>1240</v>
      </c>
      <c r="B297" s="10" t="s">
        <v>1673</v>
      </c>
    </row>
    <row r="298" spans="1:2" x14ac:dyDescent="0.3">
      <c r="A298" t="s">
        <v>1241</v>
      </c>
      <c r="B298" s="10" t="s">
        <v>1674</v>
      </c>
    </row>
    <row r="299" spans="1:2" x14ac:dyDescent="0.3">
      <c r="A299" t="s">
        <v>1242</v>
      </c>
      <c r="B299" s="10" t="s">
        <v>1675</v>
      </c>
    </row>
    <row r="300" spans="1:2" x14ac:dyDescent="0.3">
      <c r="A300" t="s">
        <v>1244</v>
      </c>
      <c r="B300" s="10" t="s">
        <v>1676</v>
      </c>
    </row>
    <row r="301" spans="1:2" x14ac:dyDescent="0.3">
      <c r="A301" t="s">
        <v>1245</v>
      </c>
      <c r="B301" s="10" t="s">
        <v>1677</v>
      </c>
    </row>
    <row r="302" spans="1:2" x14ac:dyDescent="0.3">
      <c r="A302" t="s">
        <v>1246</v>
      </c>
      <c r="B302" s="10" t="s">
        <v>1678</v>
      </c>
    </row>
    <row r="303" spans="1:2" x14ac:dyDescent="0.3">
      <c r="A303" t="s">
        <v>1247</v>
      </c>
      <c r="B303" s="10" t="s">
        <v>1679</v>
      </c>
    </row>
    <row r="304" spans="1:2" x14ac:dyDescent="0.3">
      <c r="A304" t="s">
        <v>1248</v>
      </c>
      <c r="B304" s="10" t="s">
        <v>1680</v>
      </c>
    </row>
    <row r="305" spans="1:2" x14ac:dyDescent="0.3">
      <c r="A305" t="s">
        <v>1250</v>
      </c>
      <c r="B305" s="10" t="s">
        <v>1681</v>
      </c>
    </row>
    <row r="306" spans="1:2" x14ac:dyDescent="0.3">
      <c r="A306" t="s">
        <v>1251</v>
      </c>
      <c r="B306" s="10" t="s">
        <v>1682</v>
      </c>
    </row>
    <row r="307" spans="1:2" x14ac:dyDescent="0.3">
      <c r="A307" t="s">
        <v>1252</v>
      </c>
      <c r="B307" s="10" t="s">
        <v>1683</v>
      </c>
    </row>
    <row r="308" spans="1:2" x14ac:dyDescent="0.3">
      <c r="A308" t="s">
        <v>1253</v>
      </c>
      <c r="B308" s="10" t="s">
        <v>1684</v>
      </c>
    </row>
    <row r="309" spans="1:2" x14ac:dyDescent="0.3">
      <c r="A309" t="s">
        <v>1255</v>
      </c>
      <c r="B309" s="10" t="s">
        <v>1685</v>
      </c>
    </row>
    <row r="310" spans="1:2" x14ac:dyDescent="0.3">
      <c r="A310" t="s">
        <v>1256</v>
      </c>
      <c r="B310" s="10" t="s">
        <v>1686</v>
      </c>
    </row>
    <row r="311" spans="1:2" x14ac:dyDescent="0.3">
      <c r="A311" t="s">
        <v>1257</v>
      </c>
      <c r="B311" s="10" t="s">
        <v>1687</v>
      </c>
    </row>
    <row r="312" spans="1:2" x14ac:dyDescent="0.3">
      <c r="A312" t="s">
        <v>1258</v>
      </c>
      <c r="B312" s="10" t="s">
        <v>1688</v>
      </c>
    </row>
    <row r="313" spans="1:2" x14ac:dyDescent="0.3">
      <c r="A313" t="s">
        <v>1260</v>
      </c>
      <c r="B313" s="10" t="s">
        <v>1689</v>
      </c>
    </row>
    <row r="314" spans="1:2" x14ac:dyDescent="0.3">
      <c r="A314" t="s">
        <v>1262</v>
      </c>
      <c r="B314" s="10" t="s">
        <v>1690</v>
      </c>
    </row>
    <row r="315" spans="1:2" x14ac:dyDescent="0.3">
      <c r="A315" t="s">
        <v>1264</v>
      </c>
      <c r="B315" s="10" t="s">
        <v>1691</v>
      </c>
    </row>
    <row r="316" spans="1:2" x14ac:dyDescent="0.3">
      <c r="A316" t="s">
        <v>1265</v>
      </c>
      <c r="B316" s="10" t="s">
        <v>1692</v>
      </c>
    </row>
    <row r="317" spans="1:2" x14ac:dyDescent="0.3">
      <c r="A317" t="s">
        <v>1266</v>
      </c>
      <c r="B317" s="10" t="s">
        <v>1693</v>
      </c>
    </row>
    <row r="318" spans="1:2" x14ac:dyDescent="0.3">
      <c r="A318" t="s">
        <v>1267</v>
      </c>
      <c r="B318" s="10" t="s">
        <v>1694</v>
      </c>
    </row>
    <row r="319" spans="1:2" x14ac:dyDescent="0.3">
      <c r="A319" t="s">
        <v>1268</v>
      </c>
      <c r="B319" s="10" t="s">
        <v>1695</v>
      </c>
    </row>
    <row r="320" spans="1:2" x14ac:dyDescent="0.3">
      <c r="A320" t="s">
        <v>1269</v>
      </c>
      <c r="B320" s="10" t="s">
        <v>1696</v>
      </c>
    </row>
    <row r="321" spans="1:2" x14ac:dyDescent="0.3">
      <c r="A321" t="s">
        <v>1270</v>
      </c>
      <c r="B321" s="10" t="s">
        <v>1697</v>
      </c>
    </row>
    <row r="322" spans="1:2" x14ac:dyDescent="0.3">
      <c r="A322" t="s">
        <v>1271</v>
      </c>
      <c r="B322" s="10" t="s">
        <v>1698</v>
      </c>
    </row>
    <row r="323" spans="1:2" x14ac:dyDescent="0.3">
      <c r="A323" t="s">
        <v>1272</v>
      </c>
      <c r="B323" s="10" t="s">
        <v>1699</v>
      </c>
    </row>
    <row r="324" spans="1:2" x14ac:dyDescent="0.3">
      <c r="A324" t="s">
        <v>1273</v>
      </c>
      <c r="B324" s="10" t="s">
        <v>1700</v>
      </c>
    </row>
    <row r="325" spans="1:2" x14ac:dyDescent="0.3">
      <c r="A325" t="s">
        <v>1274</v>
      </c>
      <c r="B325" s="10" t="s">
        <v>1701</v>
      </c>
    </row>
    <row r="326" spans="1:2" x14ac:dyDescent="0.3">
      <c r="A326" t="s">
        <v>1275</v>
      </c>
      <c r="B326" s="10" t="s">
        <v>1702</v>
      </c>
    </row>
    <row r="327" spans="1:2" x14ac:dyDescent="0.3">
      <c r="A327" t="s">
        <v>1276</v>
      </c>
      <c r="B327" s="10" t="s">
        <v>1703</v>
      </c>
    </row>
    <row r="328" spans="1:2" x14ac:dyDescent="0.3">
      <c r="A328" t="s">
        <v>1277</v>
      </c>
      <c r="B328" s="10" t="s">
        <v>1704</v>
      </c>
    </row>
    <row r="329" spans="1:2" x14ac:dyDescent="0.3">
      <c r="A329" t="s">
        <v>1278</v>
      </c>
      <c r="B329" s="10" t="s">
        <v>1705</v>
      </c>
    </row>
    <row r="330" spans="1:2" x14ac:dyDescent="0.3">
      <c r="A330" t="s">
        <v>1279</v>
      </c>
      <c r="B330" s="10" t="s">
        <v>1706</v>
      </c>
    </row>
    <row r="331" spans="1:2" x14ac:dyDescent="0.3">
      <c r="A331" t="s">
        <v>1280</v>
      </c>
      <c r="B331" s="10" t="s">
        <v>1707</v>
      </c>
    </row>
    <row r="332" spans="1:2" x14ac:dyDescent="0.3">
      <c r="A332" t="s">
        <v>1281</v>
      </c>
      <c r="B332" s="10" t="s">
        <v>1708</v>
      </c>
    </row>
    <row r="333" spans="1:2" x14ac:dyDescent="0.3">
      <c r="A333" t="s">
        <v>1283</v>
      </c>
      <c r="B333" s="10" t="s">
        <v>1709</v>
      </c>
    </row>
    <row r="334" spans="1:2" x14ac:dyDescent="0.3">
      <c r="A334" t="s">
        <v>1284</v>
      </c>
      <c r="B334" s="10" t="s">
        <v>1710</v>
      </c>
    </row>
    <row r="335" spans="1:2" x14ac:dyDescent="0.3">
      <c r="A335" t="s">
        <v>1285</v>
      </c>
      <c r="B335" s="10" t="s">
        <v>1711</v>
      </c>
    </row>
    <row r="336" spans="1:2" x14ac:dyDescent="0.3">
      <c r="A336" t="s">
        <v>1286</v>
      </c>
      <c r="B336" s="10" t="s">
        <v>1712</v>
      </c>
    </row>
    <row r="337" spans="1:2" x14ac:dyDescent="0.3">
      <c r="A337" t="s">
        <v>1287</v>
      </c>
      <c r="B337" s="10" t="s">
        <v>1713</v>
      </c>
    </row>
    <row r="338" spans="1:2" x14ac:dyDescent="0.3">
      <c r="A338" t="s">
        <v>1288</v>
      </c>
      <c r="B338" s="10" t="s">
        <v>1714</v>
      </c>
    </row>
    <row r="339" spans="1:2" x14ac:dyDescent="0.3">
      <c r="A339" t="s">
        <v>1289</v>
      </c>
      <c r="B339" s="10" t="s">
        <v>1715</v>
      </c>
    </row>
    <row r="340" spans="1:2" x14ac:dyDescent="0.3">
      <c r="A340" t="s">
        <v>1290</v>
      </c>
      <c r="B340" s="10" t="s">
        <v>1716</v>
      </c>
    </row>
    <row r="341" spans="1:2" x14ac:dyDescent="0.3">
      <c r="A341" t="s">
        <v>1291</v>
      </c>
      <c r="B341" s="10" t="s">
        <v>1717</v>
      </c>
    </row>
    <row r="342" spans="1:2" x14ac:dyDescent="0.3">
      <c r="A342" t="s">
        <v>1292</v>
      </c>
      <c r="B342" s="10" t="s">
        <v>1718</v>
      </c>
    </row>
    <row r="343" spans="1:2" x14ac:dyDescent="0.3">
      <c r="A343" t="s">
        <v>1293</v>
      </c>
      <c r="B343" s="10" t="s">
        <v>1719</v>
      </c>
    </row>
    <row r="344" spans="1:2" x14ac:dyDescent="0.3">
      <c r="A344" t="s">
        <v>1294</v>
      </c>
      <c r="B344" s="10" t="s">
        <v>1720</v>
      </c>
    </row>
    <row r="345" spans="1:2" x14ac:dyDescent="0.3">
      <c r="A345" t="s">
        <v>1295</v>
      </c>
      <c r="B345" s="10" t="s">
        <v>1721</v>
      </c>
    </row>
    <row r="346" spans="1:2" x14ac:dyDescent="0.3">
      <c r="A346" t="s">
        <v>1296</v>
      </c>
      <c r="B346" s="10" t="s">
        <v>1722</v>
      </c>
    </row>
    <row r="347" spans="1:2" x14ac:dyDescent="0.3">
      <c r="A347" t="s">
        <v>1297</v>
      </c>
      <c r="B347" s="10" t="s">
        <v>1723</v>
      </c>
    </row>
    <row r="348" spans="1:2" x14ac:dyDescent="0.3">
      <c r="A348" t="s">
        <v>1298</v>
      </c>
      <c r="B348" s="10" t="s">
        <v>1724</v>
      </c>
    </row>
    <row r="349" spans="1:2" x14ac:dyDescent="0.3">
      <c r="A349" t="s">
        <v>556</v>
      </c>
      <c r="B349" s="10" t="s">
        <v>1725</v>
      </c>
    </row>
    <row r="350" spans="1:2" x14ac:dyDescent="0.3">
      <c r="A350" t="s">
        <v>1299</v>
      </c>
      <c r="B350" s="10" t="s">
        <v>1726</v>
      </c>
    </row>
    <row r="351" spans="1:2" x14ac:dyDescent="0.3">
      <c r="A351" t="s">
        <v>1300</v>
      </c>
      <c r="B351" s="10" t="s">
        <v>1727</v>
      </c>
    </row>
    <row r="352" spans="1:2" x14ac:dyDescent="0.3">
      <c r="A352" t="s">
        <v>1301</v>
      </c>
      <c r="B352" s="10" t="s">
        <v>1728</v>
      </c>
    </row>
    <row r="353" spans="1:2" x14ac:dyDescent="0.3">
      <c r="A353" t="s">
        <v>1302</v>
      </c>
      <c r="B353" s="10" t="s">
        <v>1729</v>
      </c>
    </row>
    <row r="354" spans="1:2" x14ac:dyDescent="0.3">
      <c r="A354" t="s">
        <v>1303</v>
      </c>
      <c r="B354" s="10" t="s">
        <v>1730</v>
      </c>
    </row>
    <row r="355" spans="1:2" x14ac:dyDescent="0.3">
      <c r="A355" t="s">
        <v>1304</v>
      </c>
      <c r="B355" s="10" t="s">
        <v>1731</v>
      </c>
    </row>
    <row r="356" spans="1:2" x14ac:dyDescent="0.3">
      <c r="A356" t="s">
        <v>1305</v>
      </c>
      <c r="B356" s="10" t="s">
        <v>1732</v>
      </c>
    </row>
    <row r="357" spans="1:2" x14ac:dyDescent="0.3">
      <c r="A357" t="s">
        <v>1306</v>
      </c>
      <c r="B357" s="10" t="s">
        <v>1733</v>
      </c>
    </row>
    <row r="358" spans="1:2" x14ac:dyDescent="0.3">
      <c r="A358" t="s">
        <v>1307</v>
      </c>
      <c r="B358" s="10" t="s">
        <v>1734</v>
      </c>
    </row>
    <row r="359" spans="1:2" x14ac:dyDescent="0.3">
      <c r="A359" t="s">
        <v>1309</v>
      </c>
      <c r="B359" s="10" t="s">
        <v>1735</v>
      </c>
    </row>
    <row r="360" spans="1:2" x14ac:dyDescent="0.3">
      <c r="A360" t="s">
        <v>1310</v>
      </c>
      <c r="B360" s="10" t="s">
        <v>1736</v>
      </c>
    </row>
    <row r="361" spans="1:2" x14ac:dyDescent="0.3">
      <c r="A361" t="s">
        <v>1311</v>
      </c>
      <c r="B361" s="10" t="s">
        <v>1737</v>
      </c>
    </row>
    <row r="362" spans="1:2" x14ac:dyDescent="0.3">
      <c r="A362" t="s">
        <v>1312</v>
      </c>
      <c r="B362" s="10" t="s">
        <v>1738</v>
      </c>
    </row>
    <row r="363" spans="1:2" x14ac:dyDescent="0.3">
      <c r="A363" t="s">
        <v>1313</v>
      </c>
      <c r="B363" s="10" t="s">
        <v>1739</v>
      </c>
    </row>
    <row r="364" spans="1:2" x14ac:dyDescent="0.3">
      <c r="A364" t="s">
        <v>1314</v>
      </c>
      <c r="B364" s="10" t="s">
        <v>1740</v>
      </c>
    </row>
    <row r="365" spans="1:2" x14ac:dyDescent="0.3">
      <c r="A365" t="s">
        <v>1315</v>
      </c>
      <c r="B365" s="10" t="s">
        <v>1741</v>
      </c>
    </row>
    <row r="366" spans="1:2" x14ac:dyDescent="0.3">
      <c r="A366" t="s">
        <v>1316</v>
      </c>
      <c r="B366" s="10" t="s">
        <v>1742</v>
      </c>
    </row>
    <row r="367" spans="1:2" x14ac:dyDescent="0.3">
      <c r="A367" t="s">
        <v>560</v>
      </c>
      <c r="B367" s="10" t="s">
        <v>1743</v>
      </c>
    </row>
    <row r="368" spans="1:2" x14ac:dyDescent="0.3">
      <c r="A368" t="s">
        <v>1317</v>
      </c>
      <c r="B368" s="10" t="s">
        <v>1744</v>
      </c>
    </row>
    <row r="369" spans="1:2" x14ac:dyDescent="0.3">
      <c r="A369" t="s">
        <v>1318</v>
      </c>
      <c r="B369" s="10" t="s">
        <v>1745</v>
      </c>
    </row>
    <row r="370" spans="1:2" x14ac:dyDescent="0.3">
      <c r="A370" t="s">
        <v>1320</v>
      </c>
      <c r="B370" s="10" t="s">
        <v>1746</v>
      </c>
    </row>
    <row r="371" spans="1:2" x14ac:dyDescent="0.3">
      <c r="A371" t="s">
        <v>1321</v>
      </c>
      <c r="B371" s="10" t="s">
        <v>1747</v>
      </c>
    </row>
    <row r="372" spans="1:2" x14ac:dyDescent="0.3">
      <c r="A372" t="s">
        <v>1322</v>
      </c>
      <c r="B372" s="10" t="s">
        <v>1748</v>
      </c>
    </row>
    <row r="373" spans="1:2" x14ac:dyDescent="0.3">
      <c r="A373" t="s">
        <v>564</v>
      </c>
      <c r="B373" s="10" t="s">
        <v>1749</v>
      </c>
    </row>
    <row r="374" spans="1:2" x14ac:dyDescent="0.3">
      <c r="A374" t="s">
        <v>1324</v>
      </c>
      <c r="B374" s="10" t="s">
        <v>1750</v>
      </c>
    </row>
    <row r="375" spans="1:2" x14ac:dyDescent="0.3">
      <c r="A375" t="s">
        <v>568</v>
      </c>
      <c r="B375" s="10" t="s">
        <v>1751</v>
      </c>
    </row>
    <row r="376" spans="1:2" x14ac:dyDescent="0.3">
      <c r="A376" t="s">
        <v>572</v>
      </c>
      <c r="B376" s="10" t="s">
        <v>1752</v>
      </c>
    </row>
    <row r="377" spans="1:2" x14ac:dyDescent="0.3">
      <c r="A377" t="s">
        <v>1326</v>
      </c>
      <c r="B377" s="10" t="s">
        <v>1753</v>
      </c>
    </row>
    <row r="378" spans="1:2" x14ac:dyDescent="0.3">
      <c r="A378" t="s">
        <v>1327</v>
      </c>
      <c r="B378" s="10" t="s">
        <v>1754</v>
      </c>
    </row>
    <row r="379" spans="1:2" x14ac:dyDescent="0.3">
      <c r="A379" t="s">
        <v>1328</v>
      </c>
      <c r="B379" s="10" t="s">
        <v>1755</v>
      </c>
    </row>
    <row r="380" spans="1:2" x14ac:dyDescent="0.3">
      <c r="A380" t="s">
        <v>1329</v>
      </c>
      <c r="B380" s="10" t="s">
        <v>1756</v>
      </c>
    </row>
    <row r="381" spans="1:2" x14ac:dyDescent="0.3">
      <c r="A381" t="s">
        <v>1330</v>
      </c>
      <c r="B381" s="10" t="s">
        <v>1757</v>
      </c>
    </row>
    <row r="382" spans="1:2" x14ac:dyDescent="0.3">
      <c r="A382" t="s">
        <v>1331</v>
      </c>
      <c r="B382" s="10" t="s">
        <v>1758</v>
      </c>
    </row>
    <row r="383" spans="1:2" x14ac:dyDescent="0.3">
      <c r="A383" t="s">
        <v>1332</v>
      </c>
      <c r="B383" s="10" t="s">
        <v>1759</v>
      </c>
    </row>
    <row r="384" spans="1:2" x14ac:dyDescent="0.3">
      <c r="A384" t="s">
        <v>1333</v>
      </c>
      <c r="B384" s="10" t="s">
        <v>1760</v>
      </c>
    </row>
    <row r="385" spans="1:2" x14ac:dyDescent="0.3">
      <c r="A385" t="s">
        <v>1334</v>
      </c>
      <c r="B385" s="10" t="s">
        <v>1761</v>
      </c>
    </row>
    <row r="386" spans="1:2" x14ac:dyDescent="0.3">
      <c r="A386" t="s">
        <v>1335</v>
      </c>
      <c r="B386" s="10" t="s">
        <v>1762</v>
      </c>
    </row>
    <row r="387" spans="1:2" x14ac:dyDescent="0.3">
      <c r="A387" t="s">
        <v>1336</v>
      </c>
      <c r="B387" s="10" t="s">
        <v>1763</v>
      </c>
    </row>
    <row r="388" spans="1:2" x14ac:dyDescent="0.3">
      <c r="A388" t="s">
        <v>1337</v>
      </c>
      <c r="B388" s="10" t="s">
        <v>1764</v>
      </c>
    </row>
    <row r="389" spans="1:2" x14ac:dyDescent="0.3">
      <c r="A389" t="s">
        <v>1339</v>
      </c>
      <c r="B389" s="10" t="s">
        <v>1765</v>
      </c>
    </row>
    <row r="390" spans="1:2" x14ac:dyDescent="0.3">
      <c r="A390" t="s">
        <v>1340</v>
      </c>
      <c r="B390" s="10" t="s">
        <v>1766</v>
      </c>
    </row>
    <row r="391" spans="1:2" x14ac:dyDescent="0.3">
      <c r="A391" t="s">
        <v>1341</v>
      </c>
      <c r="B391" s="10" t="s">
        <v>1767</v>
      </c>
    </row>
    <row r="392" spans="1:2" x14ac:dyDescent="0.3">
      <c r="A392" t="s">
        <v>1342</v>
      </c>
      <c r="B392" s="10" t="s">
        <v>1768</v>
      </c>
    </row>
    <row r="393" spans="1:2" x14ac:dyDescent="0.3">
      <c r="A393" t="s">
        <v>1343</v>
      </c>
      <c r="B393" s="10" t="s">
        <v>1769</v>
      </c>
    </row>
    <row r="394" spans="1:2" x14ac:dyDescent="0.3">
      <c r="A394" t="s">
        <v>1344</v>
      </c>
      <c r="B394" s="10" t="s">
        <v>1770</v>
      </c>
    </row>
    <row r="395" spans="1:2" x14ac:dyDescent="0.3">
      <c r="A395" t="s">
        <v>1345</v>
      </c>
      <c r="B395" s="10" t="s">
        <v>1771</v>
      </c>
    </row>
    <row r="396" spans="1:2" x14ac:dyDescent="0.3">
      <c r="A396" t="s">
        <v>1346</v>
      </c>
      <c r="B396" s="10" t="s">
        <v>1772</v>
      </c>
    </row>
    <row r="397" spans="1:2" x14ac:dyDescent="0.3">
      <c r="A397" t="s">
        <v>1347</v>
      </c>
      <c r="B397" s="10" t="s">
        <v>1773</v>
      </c>
    </row>
    <row r="398" spans="1:2" x14ac:dyDescent="0.3">
      <c r="A398" t="s">
        <v>1348</v>
      </c>
      <c r="B398" s="10" t="s">
        <v>1774</v>
      </c>
    </row>
    <row r="399" spans="1:2" x14ac:dyDescent="0.3">
      <c r="A399" t="s">
        <v>576</v>
      </c>
      <c r="B399" s="10" t="s">
        <v>1775</v>
      </c>
    </row>
    <row r="400" spans="1:2" x14ac:dyDescent="0.3">
      <c r="A400" t="s">
        <v>1349</v>
      </c>
      <c r="B400" s="10" t="s">
        <v>1776</v>
      </c>
    </row>
    <row r="401" spans="1:2" x14ac:dyDescent="0.3">
      <c r="A401" t="s">
        <v>1351</v>
      </c>
      <c r="B401" s="10" t="s">
        <v>1777</v>
      </c>
    </row>
    <row r="402" spans="1:2" x14ac:dyDescent="0.3">
      <c r="A402" t="s">
        <v>1352</v>
      </c>
      <c r="B402" s="10" t="s">
        <v>1778</v>
      </c>
    </row>
    <row r="403" spans="1:2" x14ac:dyDescent="0.3">
      <c r="A403" t="s">
        <v>1353</v>
      </c>
      <c r="B403" s="10" t="s">
        <v>1779</v>
      </c>
    </row>
    <row r="404" spans="1:2" x14ac:dyDescent="0.3">
      <c r="A404" t="s">
        <v>1354</v>
      </c>
      <c r="B404" s="10" t="s">
        <v>1780</v>
      </c>
    </row>
    <row r="405" spans="1:2" x14ac:dyDescent="0.3">
      <c r="A405" t="s">
        <v>1355</v>
      </c>
      <c r="B405" s="10" t="s">
        <v>1781</v>
      </c>
    </row>
    <row r="406" spans="1:2" x14ac:dyDescent="0.3">
      <c r="A406" t="s">
        <v>580</v>
      </c>
      <c r="B406" s="10" t="s">
        <v>1782</v>
      </c>
    </row>
    <row r="407" spans="1:2" x14ac:dyDescent="0.3">
      <c r="A407" t="s">
        <v>1357</v>
      </c>
      <c r="B407" s="10" t="s">
        <v>1783</v>
      </c>
    </row>
    <row r="408" spans="1:2" x14ac:dyDescent="0.3">
      <c r="A408" t="s">
        <v>584</v>
      </c>
      <c r="B408" s="10" t="s">
        <v>1784</v>
      </c>
    </row>
    <row r="409" spans="1:2" x14ac:dyDescent="0.3">
      <c r="A409" t="s">
        <v>588</v>
      </c>
      <c r="B409" s="10" t="s">
        <v>1785</v>
      </c>
    </row>
    <row r="410" spans="1:2" x14ac:dyDescent="0.3">
      <c r="A410" t="s">
        <v>592</v>
      </c>
      <c r="B410" s="10" t="s">
        <v>1786</v>
      </c>
    </row>
    <row r="411" spans="1:2" x14ac:dyDescent="0.3">
      <c r="A411" t="s">
        <v>612</v>
      </c>
      <c r="B411" s="10" t="s">
        <v>1787</v>
      </c>
    </row>
    <row r="412" spans="1:2" x14ac:dyDescent="0.3">
      <c r="A412" t="s">
        <v>613</v>
      </c>
      <c r="B412" s="10" t="s">
        <v>1788</v>
      </c>
    </row>
    <row r="413" spans="1:2" x14ac:dyDescent="0.3">
      <c r="A413" t="s">
        <v>615</v>
      </c>
      <c r="B413" s="10" t="s">
        <v>1789</v>
      </c>
    </row>
    <row r="414" spans="1:2" x14ac:dyDescent="0.3">
      <c r="A414" t="s">
        <v>616</v>
      </c>
      <c r="B414" s="10" t="s">
        <v>1790</v>
      </c>
    </row>
    <row r="415" spans="1:2" x14ac:dyDescent="0.3">
      <c r="A415" t="s">
        <v>1360</v>
      </c>
      <c r="B415" s="10" t="s">
        <v>1791</v>
      </c>
    </row>
    <row r="416" spans="1:2" x14ac:dyDescent="0.3">
      <c r="A416" t="s">
        <v>1361</v>
      </c>
      <c r="B416" s="10" t="s">
        <v>1792</v>
      </c>
    </row>
    <row r="417" spans="1:2" x14ac:dyDescent="0.3">
      <c r="A417" t="s">
        <v>1362</v>
      </c>
      <c r="B417" s="10" t="s">
        <v>1793</v>
      </c>
    </row>
    <row r="418" spans="1:2" x14ac:dyDescent="0.3">
      <c r="A418" t="s">
        <v>1363</v>
      </c>
      <c r="B418" s="10" t="s">
        <v>1794</v>
      </c>
    </row>
    <row r="419" spans="1:2" x14ac:dyDescent="0.3">
      <c r="A419" t="s">
        <v>1364</v>
      </c>
      <c r="B419" s="10" t="s">
        <v>1795</v>
      </c>
    </row>
    <row r="420" spans="1:2" x14ac:dyDescent="0.3">
      <c r="A420" t="s">
        <v>1365</v>
      </c>
      <c r="B420" s="10" t="s">
        <v>1796</v>
      </c>
    </row>
    <row r="421" spans="1:2" x14ac:dyDescent="0.3">
      <c r="A421" t="s">
        <v>1366</v>
      </c>
      <c r="B421" s="10" t="s">
        <v>1797</v>
      </c>
    </row>
    <row r="422" spans="1:2" x14ac:dyDescent="0.3">
      <c r="A422" t="s">
        <v>1367</v>
      </c>
      <c r="B422" s="10" t="s">
        <v>1798</v>
      </c>
    </row>
    <row r="423" spans="1:2" x14ac:dyDescent="0.3">
      <c r="A423" t="s">
        <v>1368</v>
      </c>
      <c r="B423" s="10" t="s">
        <v>1799</v>
      </c>
    </row>
    <row r="424" spans="1:2" x14ac:dyDescent="0.3">
      <c r="A424" t="s">
        <v>1369</v>
      </c>
      <c r="B424" s="10" t="s">
        <v>1800</v>
      </c>
    </row>
    <row r="425" spans="1:2" x14ac:dyDescent="0.3">
      <c r="A425" t="s">
        <v>1370</v>
      </c>
      <c r="B425" s="10" t="s">
        <v>1801</v>
      </c>
    </row>
    <row r="426" spans="1:2" x14ac:dyDescent="0.3">
      <c r="A426" t="s">
        <v>1371</v>
      </c>
      <c r="B426" s="10" t="s">
        <v>1802</v>
      </c>
    </row>
    <row r="427" spans="1:2" x14ac:dyDescent="0.3">
      <c r="A427" t="s">
        <v>1372</v>
      </c>
      <c r="B427" s="10" t="s">
        <v>1803</v>
      </c>
    </row>
    <row r="428" spans="1:2" x14ac:dyDescent="0.3">
      <c r="A428" t="s">
        <v>1373</v>
      </c>
      <c r="B428" s="10" t="s">
        <v>1804</v>
      </c>
    </row>
    <row r="429" spans="1:2" x14ac:dyDescent="0.3">
      <c r="A429" t="s">
        <v>1374</v>
      </c>
      <c r="B429" s="10" t="s">
        <v>1805</v>
      </c>
    </row>
    <row r="430" spans="1:2" x14ac:dyDescent="0.3">
      <c r="A430" t="s">
        <v>1375</v>
      </c>
      <c r="B430" s="10" t="s">
        <v>1806</v>
      </c>
    </row>
    <row r="431" spans="1:2" x14ac:dyDescent="0.3">
      <c r="A431" t="s">
        <v>1376</v>
      </c>
      <c r="B431" s="10" t="s">
        <v>1807</v>
      </c>
    </row>
    <row r="432" spans="1:2" x14ac:dyDescent="0.3">
      <c r="B432" s="10"/>
    </row>
    <row r="433" spans="2:2" x14ac:dyDescent="0.3">
      <c r="B433" s="10"/>
    </row>
    <row r="434" spans="2:2" x14ac:dyDescent="0.3">
      <c r="B434" s="10"/>
    </row>
    <row r="435" spans="2:2" x14ac:dyDescent="0.3">
      <c r="B435" s="10"/>
    </row>
    <row r="436" spans="2:2" x14ac:dyDescent="0.3">
      <c r="B436" s="10"/>
    </row>
    <row r="437" spans="2:2" x14ac:dyDescent="0.3">
      <c r="B437" s="10"/>
    </row>
    <row r="438" spans="2:2" x14ac:dyDescent="0.3">
      <c r="B438" s="10"/>
    </row>
    <row r="439" spans="2:2" x14ac:dyDescent="0.3">
      <c r="B439" s="10"/>
    </row>
    <row r="440" spans="2:2" x14ac:dyDescent="0.3">
      <c r="B440" s="10"/>
    </row>
    <row r="441" spans="2:2" x14ac:dyDescent="0.3">
      <c r="B441" s="10"/>
    </row>
    <row r="442" spans="2:2" x14ac:dyDescent="0.3">
      <c r="B442" s="10"/>
    </row>
    <row r="443" spans="2:2" x14ac:dyDescent="0.3">
      <c r="B443" s="10"/>
    </row>
    <row r="444" spans="2:2" x14ac:dyDescent="0.3">
      <c r="B444" s="10"/>
    </row>
    <row r="445" spans="2:2" x14ac:dyDescent="0.3">
      <c r="B445" s="10"/>
    </row>
    <row r="446" spans="2:2" x14ac:dyDescent="0.3">
      <c r="B446" s="10"/>
    </row>
    <row r="447" spans="2:2" x14ac:dyDescent="0.3">
      <c r="B447" s="10"/>
    </row>
    <row r="448" spans="2:2" x14ac:dyDescent="0.3">
      <c r="B448" s="10"/>
    </row>
    <row r="449" spans="2:2" x14ac:dyDescent="0.3">
      <c r="B449" s="10"/>
    </row>
    <row r="450" spans="2:2" x14ac:dyDescent="0.3">
      <c r="B450" s="10"/>
    </row>
    <row r="451" spans="2:2" x14ac:dyDescent="0.3">
      <c r="B451" s="10"/>
    </row>
    <row r="452" spans="2:2" x14ac:dyDescent="0.3">
      <c r="B452" s="10"/>
    </row>
    <row r="453" spans="2:2" x14ac:dyDescent="0.3">
      <c r="B453" s="10"/>
    </row>
    <row r="454" spans="2:2" x14ac:dyDescent="0.3">
      <c r="B454" s="10"/>
    </row>
    <row r="455" spans="2:2" x14ac:dyDescent="0.3">
      <c r="B455" s="10"/>
    </row>
    <row r="456" spans="2:2" x14ac:dyDescent="0.3">
      <c r="B456" s="10"/>
    </row>
    <row r="457" spans="2:2" x14ac:dyDescent="0.3">
      <c r="B457" s="10"/>
    </row>
    <row r="458" spans="2:2" x14ac:dyDescent="0.3">
      <c r="B458" s="10"/>
    </row>
    <row r="459" spans="2:2" x14ac:dyDescent="0.3">
      <c r="B459" s="10"/>
    </row>
    <row r="460" spans="2:2" x14ac:dyDescent="0.3">
      <c r="B460" s="10"/>
    </row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79998168889431442"/>
  </sheetPr>
  <dimension ref="A1:D156"/>
  <sheetViews>
    <sheetView workbookViewId="0">
      <pane ySplit="1" topLeftCell="A86" activePane="bottomLeft" state="frozen"/>
      <selection pane="bottomLeft" activeCell="A120" sqref="A120"/>
    </sheetView>
  </sheetViews>
  <sheetFormatPr defaultRowHeight="14.4" x14ac:dyDescent="0.3"/>
  <cols>
    <col min="1" max="1" width="21.88671875" bestFit="1" customWidth="1"/>
    <col min="2" max="2" width="9.109375" style="4"/>
    <col min="3" max="3" width="18.6640625" style="4" bestFit="1" customWidth="1"/>
    <col min="4" max="4" width="22.33203125" style="4" bestFit="1" customWidth="1"/>
  </cols>
  <sheetData>
    <row r="1" spans="1:4" s="1" customFormat="1" ht="15" thickBot="1" x14ac:dyDescent="0.35">
      <c r="A1" s="18" t="s">
        <v>200</v>
      </c>
      <c r="B1" s="3" t="s">
        <v>1</v>
      </c>
      <c r="C1" s="3" t="s">
        <v>199</v>
      </c>
      <c r="D1" s="3"/>
    </row>
    <row r="2" spans="1:4" ht="15" thickBot="1" x14ac:dyDescent="0.35">
      <c r="A2" s="17" t="s">
        <v>68</v>
      </c>
      <c r="B2" s="4" t="s">
        <v>250</v>
      </c>
      <c r="C2" s="4" t="s">
        <v>223</v>
      </c>
    </row>
    <row r="3" spans="1:4" ht="15" thickBot="1" x14ac:dyDescent="0.35">
      <c r="A3" s="17" t="s">
        <v>79</v>
      </c>
      <c r="B3" s="4" t="s">
        <v>250</v>
      </c>
      <c r="C3" s="4" t="s">
        <v>164</v>
      </c>
    </row>
    <row r="4" spans="1:4" ht="15" thickBot="1" x14ac:dyDescent="0.35">
      <c r="A4" s="17" t="s">
        <v>42</v>
      </c>
      <c r="B4" s="4" t="s">
        <v>6</v>
      </c>
      <c r="C4" s="4" t="s">
        <v>198</v>
      </c>
    </row>
    <row r="5" spans="1:4" ht="15" thickBot="1" x14ac:dyDescent="0.35">
      <c r="A5" s="17" t="s">
        <v>26</v>
      </c>
      <c r="B5" s="4" t="s">
        <v>6</v>
      </c>
      <c r="C5" s="4" t="s">
        <v>197</v>
      </c>
    </row>
    <row r="6" spans="1:4" ht="15" thickBot="1" x14ac:dyDescent="0.35">
      <c r="A6" s="17" t="s">
        <v>34</v>
      </c>
      <c r="B6" s="4" t="s">
        <v>6</v>
      </c>
      <c r="C6" s="4" t="s">
        <v>196</v>
      </c>
    </row>
    <row r="7" spans="1:4" ht="15" thickBot="1" x14ac:dyDescent="0.35">
      <c r="A7" s="17" t="s">
        <v>31</v>
      </c>
      <c r="B7" s="4" t="s">
        <v>6</v>
      </c>
      <c r="C7" s="4" t="s">
        <v>195</v>
      </c>
    </row>
    <row r="8" spans="1:4" ht="15" thickBot="1" x14ac:dyDescent="0.35">
      <c r="A8" s="17" t="s">
        <v>53</v>
      </c>
      <c r="B8" s="4" t="s">
        <v>6</v>
      </c>
      <c r="C8" s="4" t="s">
        <v>194</v>
      </c>
    </row>
    <row r="9" spans="1:4" ht="15" thickBot="1" x14ac:dyDescent="0.35">
      <c r="A9" s="17" t="s">
        <v>82</v>
      </c>
      <c r="B9" s="4" t="s">
        <v>250</v>
      </c>
      <c r="C9" s="4" t="s">
        <v>193</v>
      </c>
    </row>
    <row r="10" spans="1:4" ht="15" thickBot="1" x14ac:dyDescent="0.35">
      <c r="A10" s="17" t="s">
        <v>44</v>
      </c>
      <c r="B10" s="4" t="s">
        <v>6</v>
      </c>
      <c r="C10" s="4" t="s">
        <v>192</v>
      </c>
    </row>
    <row r="11" spans="1:4" ht="15" thickBot="1" x14ac:dyDescent="0.35">
      <c r="A11" s="17" t="s">
        <v>41</v>
      </c>
      <c r="B11" s="4" t="s">
        <v>6</v>
      </c>
      <c r="C11" s="4" t="s">
        <v>191</v>
      </c>
    </row>
    <row r="12" spans="1:4" ht="15" thickBot="1" x14ac:dyDescent="0.35">
      <c r="A12" s="17" t="s">
        <v>71</v>
      </c>
      <c r="B12" s="4" t="s">
        <v>250</v>
      </c>
      <c r="C12" s="4" t="s">
        <v>159</v>
      </c>
    </row>
    <row r="13" spans="1:4" ht="15" thickBot="1" x14ac:dyDescent="0.35">
      <c r="A13" s="17" t="s">
        <v>39</v>
      </c>
      <c r="B13" s="4" t="s">
        <v>6</v>
      </c>
      <c r="C13" s="4" t="s">
        <v>190</v>
      </c>
    </row>
    <row r="14" spans="1:4" ht="15" thickBot="1" x14ac:dyDescent="0.35">
      <c r="A14" s="17" t="s">
        <v>9</v>
      </c>
      <c r="B14" s="4" t="s">
        <v>6</v>
      </c>
      <c r="C14" s="4" t="s">
        <v>189</v>
      </c>
    </row>
    <row r="15" spans="1:4" ht="15" thickBot="1" x14ac:dyDescent="0.35">
      <c r="A15" s="17" t="s">
        <v>43</v>
      </c>
      <c r="B15" s="4" t="s">
        <v>6</v>
      </c>
      <c r="C15" s="4" t="s">
        <v>188</v>
      </c>
    </row>
    <row r="16" spans="1:4" ht="15" thickBot="1" x14ac:dyDescent="0.35">
      <c r="A16" s="17" t="s">
        <v>12</v>
      </c>
      <c r="B16" s="4" t="s">
        <v>6</v>
      </c>
      <c r="C16" s="4" t="s">
        <v>187</v>
      </c>
    </row>
    <row r="17" spans="1:4" ht="15" thickBot="1" x14ac:dyDescent="0.35">
      <c r="A17" s="17" t="s">
        <v>22</v>
      </c>
      <c r="B17" s="4" t="s">
        <v>6</v>
      </c>
      <c r="C17" s="4" t="s">
        <v>186</v>
      </c>
    </row>
    <row r="18" spans="1:4" ht="15" thickBot="1" x14ac:dyDescent="0.35">
      <c r="A18" s="17" t="s">
        <v>27</v>
      </c>
      <c r="B18" s="4" t="s">
        <v>6</v>
      </c>
      <c r="C18" s="4" t="s">
        <v>185</v>
      </c>
    </row>
    <row r="19" spans="1:4" ht="15" thickBot="1" x14ac:dyDescent="0.35">
      <c r="A19" s="17" t="s">
        <v>49</v>
      </c>
      <c r="B19" s="4" t="s">
        <v>6</v>
      </c>
      <c r="C19" s="4" t="s">
        <v>184</v>
      </c>
    </row>
    <row r="20" spans="1:4" ht="15" thickBot="1" x14ac:dyDescent="0.35">
      <c r="A20" s="17" t="s">
        <v>21</v>
      </c>
      <c r="B20" s="4" t="s">
        <v>6</v>
      </c>
      <c r="C20" s="4" t="s">
        <v>183</v>
      </c>
    </row>
    <row r="21" spans="1:4" ht="15" thickBot="1" x14ac:dyDescent="0.35">
      <c r="A21" s="17" t="s">
        <v>30</v>
      </c>
      <c r="B21" s="4" t="s">
        <v>6</v>
      </c>
      <c r="C21" s="4" t="s">
        <v>173</v>
      </c>
    </row>
    <row r="22" spans="1:4" ht="15" thickBot="1" x14ac:dyDescent="0.35">
      <c r="A22" s="17" t="s">
        <v>37</v>
      </c>
      <c r="B22" s="4" t="s">
        <v>6</v>
      </c>
      <c r="C22" s="4" t="s">
        <v>182</v>
      </c>
    </row>
    <row r="23" spans="1:4" ht="15" thickBot="1" x14ac:dyDescent="0.35">
      <c r="A23" s="17" t="s">
        <v>13</v>
      </c>
      <c r="B23" s="4" t="s">
        <v>6</v>
      </c>
      <c r="C23" s="4" t="s">
        <v>181</v>
      </c>
    </row>
    <row r="24" spans="1:4" ht="15" thickBot="1" x14ac:dyDescent="0.35">
      <c r="A24" s="17" t="s">
        <v>38</v>
      </c>
      <c r="B24" s="4" t="s">
        <v>6</v>
      </c>
      <c r="C24" s="4" t="s">
        <v>180</v>
      </c>
    </row>
    <row r="25" spans="1:4" ht="15" thickBot="1" x14ac:dyDescent="0.35">
      <c r="A25" s="17" t="s">
        <v>32</v>
      </c>
      <c r="B25" s="4" t="s">
        <v>6</v>
      </c>
      <c r="C25" s="4" t="s">
        <v>179</v>
      </c>
    </row>
    <row r="26" spans="1:4" ht="15" thickBot="1" x14ac:dyDescent="0.35">
      <c r="A26" s="17" t="s">
        <v>24</v>
      </c>
      <c r="B26" s="4" t="s">
        <v>6</v>
      </c>
      <c r="C26" s="4" t="s">
        <v>178</v>
      </c>
    </row>
    <row r="27" spans="1:4" ht="15" thickBot="1" x14ac:dyDescent="0.35">
      <c r="A27" s="17" t="s">
        <v>74</v>
      </c>
      <c r="B27" s="4" t="s">
        <v>250</v>
      </c>
      <c r="C27" s="4" t="s">
        <v>177</v>
      </c>
      <c r="D27" s="4" t="s">
        <v>176</v>
      </c>
    </row>
    <row r="28" spans="1:4" ht="15" thickBot="1" x14ac:dyDescent="0.35">
      <c r="A28" s="17" t="s">
        <v>75</v>
      </c>
      <c r="B28" s="4" t="s">
        <v>250</v>
      </c>
      <c r="C28" s="4" t="s">
        <v>175</v>
      </c>
      <c r="D28" s="4" t="s">
        <v>174</v>
      </c>
    </row>
    <row r="29" spans="1:4" ht="15" thickBot="1" x14ac:dyDescent="0.35">
      <c r="A29" s="17" t="s">
        <v>67</v>
      </c>
      <c r="B29" s="4" t="s">
        <v>250</v>
      </c>
      <c r="C29" s="4" t="s">
        <v>159</v>
      </c>
    </row>
    <row r="30" spans="1:4" ht="15" thickBot="1" x14ac:dyDescent="0.35">
      <c r="A30" s="17" t="s">
        <v>52</v>
      </c>
      <c r="B30" s="4" t="s">
        <v>6</v>
      </c>
      <c r="C30" s="4" t="s">
        <v>173</v>
      </c>
    </row>
    <row r="31" spans="1:4" ht="15" thickBot="1" x14ac:dyDescent="0.35">
      <c r="A31" s="17" t="s">
        <v>72</v>
      </c>
      <c r="B31" s="4" t="s">
        <v>250</v>
      </c>
      <c r="C31" s="4" t="s">
        <v>172</v>
      </c>
    </row>
    <row r="32" spans="1:4" ht="15" thickBot="1" x14ac:dyDescent="0.35">
      <c r="A32" s="17" t="s">
        <v>73</v>
      </c>
      <c r="B32" s="4" t="s">
        <v>250</v>
      </c>
      <c r="C32" s="4" t="s">
        <v>171</v>
      </c>
    </row>
    <row r="33" spans="1:3" ht="15" thickBot="1" x14ac:dyDescent="0.35">
      <c r="A33" s="17" t="s">
        <v>170</v>
      </c>
      <c r="B33" s="4" t="s">
        <v>250</v>
      </c>
      <c r="C33" s="4" t="s">
        <v>169</v>
      </c>
    </row>
    <row r="34" spans="1:3" ht="15" thickBot="1" x14ac:dyDescent="0.35">
      <c r="A34" s="17" t="s">
        <v>76</v>
      </c>
      <c r="B34" s="4" t="s">
        <v>250</v>
      </c>
      <c r="C34" s="4" t="s">
        <v>168</v>
      </c>
    </row>
    <row r="35" spans="1:3" ht="15" thickBot="1" x14ac:dyDescent="0.35">
      <c r="A35" s="17" t="s">
        <v>77</v>
      </c>
      <c r="B35" s="4" t="s">
        <v>250</v>
      </c>
      <c r="C35" s="4" t="s">
        <v>167</v>
      </c>
    </row>
    <row r="36" spans="1:3" ht="15" thickBot="1" x14ac:dyDescent="0.35">
      <c r="A36" s="17" t="s">
        <v>78</v>
      </c>
      <c r="B36" s="4" t="s">
        <v>250</v>
      </c>
      <c r="C36" s="4" t="s">
        <v>166</v>
      </c>
    </row>
    <row r="37" spans="1:3" ht="15" thickBot="1" x14ac:dyDescent="0.35">
      <c r="A37" s="17" t="s">
        <v>165</v>
      </c>
      <c r="B37" s="4" t="s">
        <v>250</v>
      </c>
      <c r="C37" s="4" t="s">
        <v>164</v>
      </c>
    </row>
    <row r="38" spans="1:3" ht="15" thickBot="1" x14ac:dyDescent="0.35">
      <c r="A38" s="17" t="s">
        <v>80</v>
      </c>
      <c r="B38" s="4" t="s">
        <v>250</v>
      </c>
      <c r="C38" s="4" t="s">
        <v>163</v>
      </c>
    </row>
    <row r="39" spans="1:3" ht="15" thickBot="1" x14ac:dyDescent="0.35">
      <c r="A39" s="17" t="s">
        <v>81</v>
      </c>
      <c r="B39" s="4" t="s">
        <v>250</v>
      </c>
      <c r="C39" s="4" t="s">
        <v>162</v>
      </c>
    </row>
    <row r="40" spans="1:3" ht="15" thickBot="1" x14ac:dyDescent="0.35">
      <c r="A40" s="17" t="s">
        <v>84</v>
      </c>
      <c r="B40" s="4" t="s">
        <v>250</v>
      </c>
      <c r="C40" s="4" t="s">
        <v>161</v>
      </c>
    </row>
    <row r="41" spans="1:3" x14ac:dyDescent="0.3">
      <c r="A41" t="s">
        <v>108</v>
      </c>
      <c r="B41" s="4" t="s">
        <v>6</v>
      </c>
      <c r="C41" s="4" t="s">
        <v>160</v>
      </c>
    </row>
    <row r="42" spans="1:3" x14ac:dyDescent="0.3">
      <c r="A42" t="s">
        <v>11</v>
      </c>
      <c r="B42" s="4" t="s">
        <v>251</v>
      </c>
      <c r="C42" s="4" t="s">
        <v>159</v>
      </c>
    </row>
    <row r="43" spans="1:3" x14ac:dyDescent="0.3">
      <c r="A43" t="s">
        <v>14</v>
      </c>
      <c r="B43" s="4" t="s">
        <v>6</v>
      </c>
      <c r="C43" s="4" t="s">
        <v>158</v>
      </c>
    </row>
    <row r="44" spans="1:3" x14ac:dyDescent="0.3">
      <c r="A44" t="s">
        <v>101</v>
      </c>
      <c r="B44" s="7" t="s">
        <v>6</v>
      </c>
      <c r="C44" s="4" t="s">
        <v>157</v>
      </c>
    </row>
    <row r="45" spans="1:3" x14ac:dyDescent="0.3">
      <c r="A45" t="s">
        <v>111</v>
      </c>
      <c r="B45" s="4" t="s">
        <v>250</v>
      </c>
      <c r="C45" s="4" t="s">
        <v>156</v>
      </c>
    </row>
    <row r="46" spans="1:3" x14ac:dyDescent="0.3">
      <c r="A46" t="s">
        <v>47</v>
      </c>
      <c r="B46" s="4" t="s">
        <v>6</v>
      </c>
      <c r="C46" s="4" t="s">
        <v>155</v>
      </c>
    </row>
    <row r="47" spans="1:3" x14ac:dyDescent="0.3">
      <c r="A47" t="s">
        <v>23</v>
      </c>
      <c r="B47" s="4" t="s">
        <v>6</v>
      </c>
      <c r="C47" s="4" t="s">
        <v>154</v>
      </c>
    </row>
    <row r="48" spans="1:3" x14ac:dyDescent="0.3">
      <c r="A48" t="s">
        <v>36</v>
      </c>
      <c r="B48" s="4" t="s">
        <v>6</v>
      </c>
      <c r="C48" s="4" t="s">
        <v>153</v>
      </c>
    </row>
    <row r="49" spans="1:4" x14ac:dyDescent="0.3">
      <c r="A49" t="s">
        <v>16</v>
      </c>
      <c r="B49" s="4" t="s">
        <v>6</v>
      </c>
      <c r="C49" s="4" t="s">
        <v>152</v>
      </c>
    </row>
    <row r="50" spans="1:4" x14ac:dyDescent="0.3">
      <c r="A50" t="s">
        <v>35</v>
      </c>
      <c r="B50" s="4" t="s">
        <v>6</v>
      </c>
      <c r="C50" s="4" t="s">
        <v>151</v>
      </c>
    </row>
    <row r="51" spans="1:4" x14ac:dyDescent="0.3">
      <c r="A51" t="s">
        <v>20</v>
      </c>
      <c r="B51" s="4" t="s">
        <v>6</v>
      </c>
      <c r="C51" s="4" t="s">
        <v>150</v>
      </c>
    </row>
    <row r="52" spans="1:4" x14ac:dyDescent="0.3">
      <c r="A52" t="s">
        <v>33</v>
      </c>
      <c r="B52" s="4" t="s">
        <v>6</v>
      </c>
      <c r="C52" s="4" t="s">
        <v>149</v>
      </c>
    </row>
    <row r="53" spans="1:4" x14ac:dyDescent="0.3">
      <c r="A53" t="s">
        <v>7</v>
      </c>
      <c r="B53" s="4" t="s">
        <v>6</v>
      </c>
      <c r="C53" s="4" t="s">
        <v>8</v>
      </c>
    </row>
    <row r="54" spans="1:4" x14ac:dyDescent="0.3">
      <c r="A54" t="s">
        <v>45</v>
      </c>
      <c r="B54" s="4" t="s">
        <v>6</v>
      </c>
      <c r="C54" s="4" t="s">
        <v>46</v>
      </c>
    </row>
    <row r="55" spans="1:4" x14ac:dyDescent="0.3">
      <c r="A55" t="s">
        <v>112</v>
      </c>
      <c r="B55" s="4" t="s">
        <v>250</v>
      </c>
      <c r="C55" s="4" t="s">
        <v>148</v>
      </c>
    </row>
    <row r="56" spans="1:4" x14ac:dyDescent="0.3">
      <c r="A56" t="s">
        <v>29</v>
      </c>
      <c r="B56" s="4" t="s">
        <v>6</v>
      </c>
      <c r="C56" s="4" t="s">
        <v>194</v>
      </c>
      <c r="D56"/>
    </row>
    <row r="57" spans="1:4" x14ac:dyDescent="0.3">
      <c r="A57" t="s">
        <v>10</v>
      </c>
      <c r="B57" s="4" t="s">
        <v>6</v>
      </c>
      <c r="C57" s="4" t="s">
        <v>230</v>
      </c>
      <c r="D57"/>
    </row>
    <row r="58" spans="1:4" x14ac:dyDescent="0.3">
      <c r="A58" t="s">
        <v>40</v>
      </c>
      <c r="B58" s="4" t="s">
        <v>6</v>
      </c>
      <c r="C58" s="4" t="s">
        <v>229</v>
      </c>
      <c r="D58"/>
    </row>
    <row r="59" spans="1:4" x14ac:dyDescent="0.3">
      <c r="A59" t="s">
        <v>48</v>
      </c>
      <c r="B59" s="4" t="s">
        <v>6</v>
      </c>
      <c r="C59" t="s">
        <v>232</v>
      </c>
      <c r="D59"/>
    </row>
    <row r="60" spans="1:4" x14ac:dyDescent="0.3">
      <c r="A60" t="s">
        <v>15</v>
      </c>
      <c r="B60" s="4" t="s">
        <v>251</v>
      </c>
      <c r="C60" t="s">
        <v>231</v>
      </c>
      <c r="D60"/>
    </row>
    <row r="61" spans="1:4" x14ac:dyDescent="0.3">
      <c r="A61" t="s">
        <v>107</v>
      </c>
      <c r="B61" s="4" t="s">
        <v>6</v>
      </c>
      <c r="C61" s="19" t="s">
        <v>237</v>
      </c>
      <c r="D61"/>
    </row>
    <row r="62" spans="1:4" x14ac:dyDescent="0.3">
      <c r="A62" t="s">
        <v>50</v>
      </c>
      <c r="B62" s="4" t="s">
        <v>6</v>
      </c>
      <c r="C62" t="s">
        <v>233</v>
      </c>
      <c r="D62"/>
    </row>
    <row r="63" spans="1:4" x14ac:dyDescent="0.3">
      <c r="A63" t="s">
        <v>106</v>
      </c>
      <c r="B63" s="4" t="s">
        <v>250</v>
      </c>
      <c r="C63" s="19" t="s">
        <v>236</v>
      </c>
      <c r="D63"/>
    </row>
    <row r="64" spans="1:4" x14ac:dyDescent="0.3">
      <c r="A64" t="s">
        <v>17</v>
      </c>
      <c r="B64" s="4" t="s">
        <v>6</v>
      </c>
      <c r="C64" t="s">
        <v>234</v>
      </c>
      <c r="D64"/>
    </row>
    <row r="65" spans="1:4" x14ac:dyDescent="0.3">
      <c r="A65" t="s">
        <v>51</v>
      </c>
      <c r="B65" s="4" t="s">
        <v>6</v>
      </c>
      <c r="C65" t="s">
        <v>235</v>
      </c>
      <c r="D65"/>
    </row>
    <row r="66" spans="1:4" x14ac:dyDescent="0.3">
      <c r="A66" t="s">
        <v>18</v>
      </c>
      <c r="B66" s="4" t="s">
        <v>6</v>
      </c>
      <c r="C66" t="str">
        <f>A66</f>
        <v>BHP</v>
      </c>
      <c r="D66"/>
    </row>
    <row r="67" spans="1:4" x14ac:dyDescent="0.3">
      <c r="A67" t="s">
        <v>19</v>
      </c>
      <c r="B67" s="4" t="s">
        <v>6</v>
      </c>
      <c r="C67" t="s">
        <v>238</v>
      </c>
      <c r="D67"/>
    </row>
    <row r="68" spans="1:4" x14ac:dyDescent="0.3">
      <c r="A68" t="s">
        <v>25</v>
      </c>
      <c r="B68" s="4" t="s">
        <v>6</v>
      </c>
      <c r="C68" t="s">
        <v>239</v>
      </c>
      <c r="D68"/>
    </row>
    <row r="69" spans="1:4" x14ac:dyDescent="0.3">
      <c r="A69" t="s">
        <v>28</v>
      </c>
      <c r="B69" s="4" t="s">
        <v>6</v>
      </c>
      <c r="C69" s="19" t="s">
        <v>241</v>
      </c>
      <c r="D69"/>
    </row>
    <row r="70" spans="1:4" x14ac:dyDescent="0.3">
      <c r="A70" t="s">
        <v>54</v>
      </c>
      <c r="B70" s="4" t="s">
        <v>6</v>
      </c>
      <c r="C70" t="s">
        <v>240</v>
      </c>
      <c r="D70"/>
    </row>
    <row r="71" spans="1:4" x14ac:dyDescent="0.3">
      <c r="A71" t="s">
        <v>105</v>
      </c>
      <c r="B71" s="4" t="s">
        <v>250</v>
      </c>
      <c r="C71" s="19" t="s">
        <v>243</v>
      </c>
      <c r="D71"/>
    </row>
    <row r="72" spans="1:4" x14ac:dyDescent="0.3">
      <c r="A72" t="s">
        <v>104</v>
      </c>
      <c r="B72" s="4" t="s">
        <v>250</v>
      </c>
      <c r="C72" s="19" t="s">
        <v>244</v>
      </c>
      <c r="D72"/>
    </row>
    <row r="73" spans="1:4" x14ac:dyDescent="0.3">
      <c r="A73" t="s">
        <v>109</v>
      </c>
      <c r="B73" s="4" t="s">
        <v>6</v>
      </c>
      <c r="C73" t="s">
        <v>242</v>
      </c>
      <c r="D73"/>
    </row>
    <row r="74" spans="1:4" x14ac:dyDescent="0.3">
      <c r="A74" t="s">
        <v>83</v>
      </c>
      <c r="B74" s="4" t="s">
        <v>250</v>
      </c>
      <c r="C74" s="19" t="str">
        <f>A74</f>
        <v>TERM_OP_C</v>
      </c>
      <c r="D74"/>
    </row>
    <row r="75" spans="1:4" x14ac:dyDescent="0.3">
      <c r="A75" t="s">
        <v>70</v>
      </c>
      <c r="B75" s="4" t="s">
        <v>250</v>
      </c>
      <c r="C75" t="s">
        <v>246</v>
      </c>
      <c r="D75"/>
    </row>
    <row r="76" spans="1:4" x14ac:dyDescent="0.3">
      <c r="A76" t="s">
        <v>69</v>
      </c>
      <c r="B76" s="4" t="s">
        <v>250</v>
      </c>
      <c r="C76" t="s">
        <v>245</v>
      </c>
      <c r="D76"/>
    </row>
    <row r="77" spans="1:4" x14ac:dyDescent="0.3">
      <c r="A77" t="s">
        <v>261</v>
      </c>
      <c r="B77" s="4" t="s">
        <v>6</v>
      </c>
      <c r="C77" t="s">
        <v>265</v>
      </c>
      <c r="D77"/>
    </row>
    <row r="78" spans="1:4" x14ac:dyDescent="0.3">
      <c r="A78" t="s">
        <v>260</v>
      </c>
      <c r="B78" s="4" t="s">
        <v>6</v>
      </c>
      <c r="C78" t="s">
        <v>266</v>
      </c>
      <c r="D78"/>
    </row>
    <row r="79" spans="1:4" x14ac:dyDescent="0.3">
      <c r="A79" t="s">
        <v>255</v>
      </c>
      <c r="B79" s="4" t="s">
        <v>250</v>
      </c>
      <c r="C79" t="s">
        <v>267</v>
      </c>
      <c r="D79"/>
    </row>
    <row r="80" spans="1:4" x14ac:dyDescent="0.3">
      <c r="A80" t="s">
        <v>259</v>
      </c>
      <c r="B80" s="4" t="s">
        <v>6</v>
      </c>
      <c r="C80" t="s">
        <v>268</v>
      </c>
      <c r="D80"/>
    </row>
    <row r="81" spans="1:4" x14ac:dyDescent="0.3">
      <c r="A81" t="s">
        <v>258</v>
      </c>
      <c r="B81" s="4" t="s">
        <v>6</v>
      </c>
      <c r="C81" t="s">
        <v>269</v>
      </c>
      <c r="D81"/>
    </row>
    <row r="82" spans="1:4" x14ac:dyDescent="0.3">
      <c r="A82" t="s">
        <v>262</v>
      </c>
      <c r="B82" s="4" t="s">
        <v>250</v>
      </c>
      <c r="C82" t="s">
        <v>270</v>
      </c>
      <c r="D82"/>
    </row>
    <row r="83" spans="1:4" x14ac:dyDescent="0.3">
      <c r="A83" t="s">
        <v>284</v>
      </c>
      <c r="B83" s="4" t="s">
        <v>6</v>
      </c>
      <c r="C83" t="s">
        <v>284</v>
      </c>
      <c r="D83"/>
    </row>
    <row r="84" spans="1:4" x14ac:dyDescent="0.3">
      <c r="A84" t="s">
        <v>282</v>
      </c>
      <c r="B84" s="4" t="s">
        <v>6</v>
      </c>
      <c r="C84" t="s">
        <v>286</v>
      </c>
      <c r="D84"/>
    </row>
    <row r="85" spans="1:4" x14ac:dyDescent="0.3">
      <c r="A85" t="s">
        <v>285</v>
      </c>
      <c r="B85" s="4" t="s">
        <v>6</v>
      </c>
      <c r="C85" t="s">
        <v>157</v>
      </c>
      <c r="D85"/>
    </row>
    <row r="86" spans="1:4" x14ac:dyDescent="0.3">
      <c r="A86" t="s">
        <v>287</v>
      </c>
      <c r="B86" s="4" t="s">
        <v>6</v>
      </c>
      <c r="C86" t="s">
        <v>288</v>
      </c>
      <c r="D86"/>
    </row>
    <row r="87" spans="1:4" x14ac:dyDescent="0.3">
      <c r="A87" t="s">
        <v>289</v>
      </c>
      <c r="B87" s="4" t="s">
        <v>6</v>
      </c>
      <c r="C87" t="s">
        <v>290</v>
      </c>
      <c r="D87"/>
    </row>
    <row r="88" spans="1:4" x14ac:dyDescent="0.3">
      <c r="A88" t="s">
        <v>294</v>
      </c>
      <c r="B88" s="4" t="s">
        <v>6</v>
      </c>
      <c r="C88" t="s">
        <v>294</v>
      </c>
      <c r="D88"/>
    </row>
    <row r="89" spans="1:4" x14ac:dyDescent="0.3">
      <c r="A89" t="s">
        <v>291</v>
      </c>
      <c r="B89" s="4" t="s">
        <v>6</v>
      </c>
      <c r="C89" t="s">
        <v>291</v>
      </c>
      <c r="D89"/>
    </row>
    <row r="90" spans="1:4" x14ac:dyDescent="0.3">
      <c r="A90" t="s">
        <v>293</v>
      </c>
      <c r="B90" s="4" t="s">
        <v>250</v>
      </c>
      <c r="C90" t="s">
        <v>293</v>
      </c>
      <c r="D90"/>
    </row>
    <row r="91" spans="1:4" x14ac:dyDescent="0.3">
      <c r="A91" t="s">
        <v>292</v>
      </c>
      <c r="B91" s="4" t="s">
        <v>250</v>
      </c>
      <c r="C91" t="s">
        <v>292</v>
      </c>
      <c r="D91"/>
    </row>
    <row r="92" spans="1:4" x14ac:dyDescent="0.3">
      <c r="A92" t="s">
        <v>297</v>
      </c>
      <c r="B92" s="4" t="s">
        <v>6</v>
      </c>
      <c r="C92" t="s">
        <v>306</v>
      </c>
      <c r="D92"/>
    </row>
    <row r="93" spans="1:4" x14ac:dyDescent="0.3">
      <c r="A93" t="s">
        <v>299</v>
      </c>
      <c r="B93" s="4" t="s">
        <v>6</v>
      </c>
      <c r="C93" t="s">
        <v>186</v>
      </c>
      <c r="D93"/>
    </row>
    <row r="94" spans="1:4" x14ac:dyDescent="0.3">
      <c r="A94" t="s">
        <v>302</v>
      </c>
      <c r="B94" s="4" t="s">
        <v>250</v>
      </c>
      <c r="C94" t="s">
        <v>307</v>
      </c>
      <c r="D94"/>
    </row>
    <row r="95" spans="1:4" x14ac:dyDescent="0.3">
      <c r="A95" t="s">
        <v>296</v>
      </c>
      <c r="B95" s="4" t="s">
        <v>6</v>
      </c>
      <c r="C95" t="s">
        <v>308</v>
      </c>
      <c r="D95"/>
    </row>
    <row r="96" spans="1:4" x14ac:dyDescent="0.3">
      <c r="A96" t="s">
        <v>300</v>
      </c>
      <c r="B96" s="4" t="s">
        <v>6</v>
      </c>
      <c r="C96" t="s">
        <v>309</v>
      </c>
      <c r="D96"/>
    </row>
    <row r="97" spans="1:3" customFormat="1" x14ac:dyDescent="0.3">
      <c r="A97" t="s">
        <v>305</v>
      </c>
      <c r="B97" s="4" t="s">
        <v>250</v>
      </c>
      <c r="C97" t="s">
        <v>310</v>
      </c>
    </row>
    <row r="98" spans="1:3" customFormat="1" x14ac:dyDescent="0.3">
      <c r="A98" t="s">
        <v>298</v>
      </c>
      <c r="B98" s="4" t="s">
        <v>6</v>
      </c>
      <c r="C98" t="s">
        <v>311</v>
      </c>
    </row>
    <row r="99" spans="1:3" customFormat="1" x14ac:dyDescent="0.3">
      <c r="A99" t="s">
        <v>303</v>
      </c>
      <c r="B99" s="4" t="s">
        <v>250</v>
      </c>
      <c r="C99" t="s">
        <v>312</v>
      </c>
    </row>
    <row r="100" spans="1:3" customFormat="1" x14ac:dyDescent="0.3">
      <c r="A100" t="s">
        <v>301</v>
      </c>
      <c r="B100" s="4" t="s">
        <v>6</v>
      </c>
      <c r="C100" t="s">
        <v>313</v>
      </c>
    </row>
    <row r="101" spans="1:3" customFormat="1" x14ac:dyDescent="0.3">
      <c r="A101" t="s">
        <v>304</v>
      </c>
      <c r="B101" s="4" t="s">
        <v>250</v>
      </c>
      <c r="C101" t="s">
        <v>314</v>
      </c>
    </row>
    <row r="102" spans="1:3" customFormat="1" x14ac:dyDescent="0.3">
      <c r="A102" t="s">
        <v>317</v>
      </c>
      <c r="B102" s="4" t="s">
        <v>250</v>
      </c>
      <c r="C102" t="s">
        <v>317</v>
      </c>
    </row>
    <row r="103" spans="1:3" customFormat="1" x14ac:dyDescent="0.3">
      <c r="A103" t="s">
        <v>316</v>
      </c>
      <c r="B103" s="4" t="s">
        <v>250</v>
      </c>
      <c r="C103" t="s">
        <v>316</v>
      </c>
    </row>
    <row r="104" spans="1:3" customFormat="1" x14ac:dyDescent="0.3">
      <c r="A104" t="s">
        <v>318</v>
      </c>
      <c r="B104" s="4" t="s">
        <v>250</v>
      </c>
      <c r="C104" t="s">
        <v>318</v>
      </c>
    </row>
    <row r="105" spans="1:3" customFormat="1" x14ac:dyDescent="0.3">
      <c r="A105" t="s">
        <v>315</v>
      </c>
      <c r="B105" s="4" t="s">
        <v>250</v>
      </c>
      <c r="C105" t="s">
        <v>315</v>
      </c>
    </row>
    <row r="106" spans="1:3" customFormat="1" x14ac:dyDescent="0.3">
      <c r="A106" t="s">
        <v>321</v>
      </c>
      <c r="B106" s="4" t="s">
        <v>6</v>
      </c>
      <c r="C106" t="s">
        <v>322</v>
      </c>
    </row>
    <row r="107" spans="1:3" customFormat="1" x14ac:dyDescent="0.3">
      <c r="A107" t="s">
        <v>90</v>
      </c>
      <c r="B107" s="4" t="s">
        <v>6</v>
      </c>
      <c r="C107" t="s">
        <v>90</v>
      </c>
    </row>
    <row r="108" spans="1:3" customFormat="1" x14ac:dyDescent="0.3">
      <c r="A108" t="s">
        <v>612</v>
      </c>
      <c r="B108" s="4" t="s">
        <v>6</v>
      </c>
      <c r="C108" t="s">
        <v>612</v>
      </c>
    </row>
    <row r="109" spans="1:3" customFormat="1" x14ac:dyDescent="0.3">
      <c r="A109" t="s">
        <v>1092</v>
      </c>
      <c r="B109" s="4" t="s">
        <v>250</v>
      </c>
      <c r="C109" t="s">
        <v>1092</v>
      </c>
    </row>
    <row r="110" spans="1:3" customFormat="1" x14ac:dyDescent="0.3">
      <c r="A110" t="s">
        <v>943</v>
      </c>
      <c r="B110" s="4" t="s">
        <v>250</v>
      </c>
      <c r="C110" t="s">
        <v>943</v>
      </c>
    </row>
    <row r="111" spans="1:3" customFormat="1" x14ac:dyDescent="0.3">
      <c r="A111" t="s">
        <v>459</v>
      </c>
      <c r="B111" s="4" t="s">
        <v>6</v>
      </c>
      <c r="C111" t="s">
        <v>459</v>
      </c>
    </row>
    <row r="112" spans="1:3" customFormat="1" x14ac:dyDescent="0.3">
      <c r="A112" t="s">
        <v>334</v>
      </c>
      <c r="B112" s="4" t="s">
        <v>6</v>
      </c>
      <c r="C112" t="s">
        <v>334</v>
      </c>
    </row>
    <row r="113" spans="1:3" customFormat="1" x14ac:dyDescent="0.3">
      <c r="A113" t="s">
        <v>1342</v>
      </c>
      <c r="B113" s="4" t="s">
        <v>250</v>
      </c>
      <c r="C113" t="s">
        <v>1342</v>
      </c>
    </row>
    <row r="114" spans="1:3" customFormat="1" x14ac:dyDescent="0.3">
      <c r="A114" t="s">
        <v>467</v>
      </c>
      <c r="B114" s="4" t="s">
        <v>6</v>
      </c>
      <c r="C114" t="s">
        <v>467</v>
      </c>
    </row>
    <row r="115" spans="1:3" customFormat="1" x14ac:dyDescent="0.3">
      <c r="A115" t="s">
        <v>934</v>
      </c>
      <c r="B115" s="4" t="s">
        <v>250</v>
      </c>
      <c r="C115" t="s">
        <v>934</v>
      </c>
    </row>
    <row r="116" spans="1:3" customFormat="1" x14ac:dyDescent="0.3">
      <c r="A116" t="s">
        <v>951</v>
      </c>
      <c r="B116" s="4" t="s">
        <v>250</v>
      </c>
      <c r="C116" t="s">
        <v>951</v>
      </c>
    </row>
    <row r="117" spans="1:3" customFormat="1" x14ac:dyDescent="0.3">
      <c r="A117" t="s">
        <v>616</v>
      </c>
      <c r="B117" s="4" t="s">
        <v>250</v>
      </c>
      <c r="C117" t="s">
        <v>616</v>
      </c>
    </row>
    <row r="118" spans="1:3" customFormat="1" x14ac:dyDescent="0.3">
      <c r="A118" t="s">
        <v>477</v>
      </c>
      <c r="B118" s="4" t="s">
        <v>6</v>
      </c>
      <c r="C118" t="s">
        <v>477</v>
      </c>
    </row>
    <row r="119" spans="1:3" customFormat="1" x14ac:dyDescent="0.3">
      <c r="A119" t="s">
        <v>1030</v>
      </c>
      <c r="B119" s="4" t="s">
        <v>250</v>
      </c>
      <c r="C119" t="s">
        <v>1030</v>
      </c>
    </row>
    <row r="120" spans="1:3" customFormat="1" x14ac:dyDescent="0.3">
      <c r="A120" t="s">
        <v>461</v>
      </c>
      <c r="B120" s="4" t="s">
        <v>6</v>
      </c>
      <c r="C120" t="s">
        <v>461</v>
      </c>
    </row>
    <row r="121" spans="1:3" customFormat="1" x14ac:dyDescent="0.3"/>
    <row r="122" spans="1:3" customFormat="1" x14ac:dyDescent="0.3"/>
    <row r="123" spans="1:3" customFormat="1" x14ac:dyDescent="0.3"/>
    <row r="124" spans="1:3" customFormat="1" x14ac:dyDescent="0.3"/>
    <row r="125" spans="1:3" customFormat="1" x14ac:dyDescent="0.3"/>
    <row r="126" spans="1:3" customFormat="1" x14ac:dyDescent="0.3"/>
    <row r="127" spans="1:3" customFormat="1" x14ac:dyDescent="0.3"/>
    <row r="128" spans="1:3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6" tint="0.79998168889431442"/>
  </sheetPr>
  <dimension ref="A1:AB44"/>
  <sheetViews>
    <sheetView topLeftCell="B1" zoomScale="85" zoomScaleNormal="85" workbookViewId="0">
      <selection activeCell="Z9" sqref="Z9:AB44"/>
    </sheetView>
  </sheetViews>
  <sheetFormatPr defaultRowHeight="14.4" x14ac:dyDescent="0.3"/>
  <cols>
    <col min="1" max="1" width="73.88671875" customWidth="1"/>
    <col min="2" max="2" width="53.88671875" style="4" bestFit="1" customWidth="1"/>
    <col min="3" max="10" width="9.109375" style="4"/>
    <col min="11" max="11" width="2.88671875" style="4" customWidth="1"/>
    <col min="12" max="12" width="9.109375" style="4"/>
    <col min="13" max="13" width="31.6640625" style="4" bestFit="1" customWidth="1"/>
    <col min="14" max="14" width="8.5546875" style="4" bestFit="1" customWidth="1"/>
    <col min="15" max="15" width="12.6640625" style="20" bestFit="1" customWidth="1"/>
    <col min="16" max="16" width="5.5546875" style="19" bestFit="1" customWidth="1"/>
    <col min="17" max="17" width="6" style="4" bestFit="1" customWidth="1"/>
    <col min="18" max="18" width="11.5546875" style="4" bestFit="1" customWidth="1"/>
    <col min="19" max="19" width="10" style="4" bestFit="1" customWidth="1"/>
    <col min="20" max="20" width="2.88671875" style="4" customWidth="1"/>
    <col min="21" max="24" width="9.109375" style="4"/>
    <col min="25" max="25" width="2.88671875" style="4" customWidth="1"/>
    <col min="26" max="26" width="21.88671875" style="4" customWidth="1"/>
    <col min="27" max="27" width="9.109375" style="4"/>
  </cols>
  <sheetData>
    <row r="1" spans="1:28" x14ac:dyDescent="0.3"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19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</row>
    <row r="2" spans="1:28" x14ac:dyDescent="0.3">
      <c r="A2" s="35" t="s">
        <v>222</v>
      </c>
      <c r="B2" s="36" t="s">
        <v>224</v>
      </c>
      <c r="C2" s="7">
        <v>5</v>
      </c>
    </row>
    <row r="3" spans="1:28" x14ac:dyDescent="0.3">
      <c r="A3" s="22" t="s">
        <v>1808</v>
      </c>
    </row>
    <row r="4" spans="1:28" x14ac:dyDescent="0.3">
      <c r="A4" s="29"/>
    </row>
    <row r="5" spans="1:28" x14ac:dyDescent="0.3">
      <c r="A5" s="22" t="s">
        <v>248</v>
      </c>
    </row>
    <row r="6" spans="1:28" x14ac:dyDescent="0.3">
      <c r="A6" s="22" t="s">
        <v>249</v>
      </c>
    </row>
    <row r="7" spans="1:28" ht="57.6" x14ac:dyDescent="0.3">
      <c r="A7" s="29"/>
      <c r="B7" s="26" t="s">
        <v>221</v>
      </c>
      <c r="C7" s="26" t="s">
        <v>220</v>
      </c>
      <c r="D7" s="26" t="s">
        <v>219</v>
      </c>
      <c r="E7" s="26" t="s">
        <v>218</v>
      </c>
      <c r="F7" s="26" t="s">
        <v>217</v>
      </c>
      <c r="G7" s="26" t="s">
        <v>216</v>
      </c>
      <c r="H7" s="26" t="s">
        <v>215</v>
      </c>
      <c r="I7" s="26" t="s">
        <v>214</v>
      </c>
      <c r="J7" s="26" t="s">
        <v>213</v>
      </c>
      <c r="K7" s="26"/>
      <c r="L7" s="26" t="s">
        <v>212</v>
      </c>
      <c r="M7" s="26" t="s">
        <v>211</v>
      </c>
      <c r="N7" s="26" t="s">
        <v>201</v>
      </c>
      <c r="O7" s="28" t="s">
        <v>90</v>
      </c>
      <c r="P7" s="27" t="s">
        <v>210</v>
      </c>
      <c r="Q7" s="26" t="s">
        <v>209</v>
      </c>
      <c r="R7" s="26" t="s">
        <v>208</v>
      </c>
      <c r="S7" s="26" t="s">
        <v>207</v>
      </c>
      <c r="T7" s="26"/>
      <c r="U7" s="26" t="s">
        <v>206</v>
      </c>
      <c r="V7" s="26" t="s">
        <v>205</v>
      </c>
      <c r="W7" s="26" t="s">
        <v>204</v>
      </c>
      <c r="X7" s="26" t="s">
        <v>203</v>
      </c>
      <c r="Y7" s="26"/>
      <c r="Z7" s="26" t="s">
        <v>202</v>
      </c>
      <c r="AA7" s="26" t="s">
        <v>201</v>
      </c>
    </row>
    <row r="8" spans="1:28" x14ac:dyDescent="0.3">
      <c r="A8" s="22" t="s">
        <v>1809</v>
      </c>
      <c r="B8" s="4" t="str">
        <f t="shared" ref="B8:B9" si="0">MID(A8,FIND(MID(TRIM(A8),1,1),A8),LEN(A8))</f>
        <v xml:space="preserve">1) root 19394 438726.90000 0.49700320  </v>
      </c>
      <c r="C8" s="23">
        <f t="shared" ref="C8:C44" si="1">FIND(")",$B8)</f>
        <v>2</v>
      </c>
      <c r="D8" s="23"/>
      <c r="E8" s="23"/>
      <c r="F8" s="23">
        <f>FIND(" ",$B8,$C8+2)</f>
        <v>8</v>
      </c>
      <c r="G8" s="23">
        <f t="shared" ref="G8" si="2">FIND(" ",$B8,$F8+1)</f>
        <v>14</v>
      </c>
      <c r="H8" s="23">
        <f>FIND(" ",$B8,$G8+1)</f>
        <v>27</v>
      </c>
      <c r="I8" s="23">
        <f t="shared" ref="I8" si="3">LEN(B8)</f>
        <v>39</v>
      </c>
      <c r="J8" s="23">
        <f t="shared" ref="J8:J44" si="4">IF(RIGHT($B8,1)="*",1,0)</f>
        <v>0</v>
      </c>
      <c r="K8" s="23"/>
      <c r="L8" s="23">
        <f t="shared" ref="L8:L9" si="5">VALUE(LEFT(B8,$C8-1))</f>
        <v>1</v>
      </c>
      <c r="M8" s="23" t="str">
        <f>MID($B8,C8+2,(F8-2)-C8)</f>
        <v>root</v>
      </c>
      <c r="N8" s="23"/>
      <c r="O8" s="25" t="str">
        <f>MID($B8,C8+2,(F8-2)-C8)</f>
        <v>root</v>
      </c>
      <c r="P8" s="24"/>
      <c r="Q8" s="23" t="str">
        <f t="shared" ref="Q8" si="6">MID($B8,F8+1,(G8-1)-F8)</f>
        <v>19394</v>
      </c>
      <c r="R8" s="23" t="str">
        <f t="shared" ref="R8:R9" si="7">MID($B8,G8+1,(H8-1)-G8)</f>
        <v>438726.90000</v>
      </c>
      <c r="S8" s="23">
        <f t="shared" ref="S8:S9" si="8">ROUND(MID($B8,H8+1,(I8-1)-H8),2)</f>
        <v>0.5</v>
      </c>
      <c r="T8" s="23"/>
      <c r="Y8" s="23"/>
    </row>
    <row r="9" spans="1:28" x14ac:dyDescent="0.3">
      <c r="A9" s="22" t="s">
        <v>1810</v>
      </c>
      <c r="B9" s="4" t="str">
        <f t="shared" si="0"/>
        <v xml:space="preserve">2) Value&lt; 4047.5 7016  69783.57000 0.30184150  </v>
      </c>
      <c r="C9" s="4">
        <f t="shared" si="1"/>
        <v>2</v>
      </c>
      <c r="D9" s="4">
        <f t="shared" ref="D9:D44" si="9">MIN(IFERROR(FIND("&lt;",$B9),1000),IFERROR(FIND("=",$B9),1000),IFERROR(FIND("&gt;",$B9),1000))</f>
        <v>9</v>
      </c>
      <c r="E9" s="4">
        <f t="shared" ref="E9" si="10">MAX(IFERROR(FIND("&lt;",$B9,$D9+1),$D9),IFERROR(FIND("=",$B9,$D9+1),$D9),IFERROR(FIND("&gt;",$B9,$D9+1),0),IF(MID($B9,$D9,1)="&amp;",D9+3))</f>
        <v>9</v>
      </c>
      <c r="F9" s="7">
        <f t="shared" ref="F9:G9" si="11">FIND("~",SUBSTITUTE(LEFT($B9,G9)," ","~",LEN(LEFT($B9,G9))-2-LEN(SUBSTITUTE(LEFT($B9,G9-2)," ",""))))</f>
        <v>17</v>
      </c>
      <c r="G9" s="7">
        <f t="shared" si="11"/>
        <v>23</v>
      </c>
      <c r="H9" s="7">
        <f>FIND("~",SUBSTITUTE($B9," ","~",LEN($B9)-2-LEN(SUBSTITUTE(LEFT($B9,I9-2)," ",""))))</f>
        <v>35</v>
      </c>
      <c r="I9" s="7">
        <f>LEN(B9)</f>
        <v>47</v>
      </c>
      <c r="J9" s="4">
        <f t="shared" si="4"/>
        <v>0</v>
      </c>
      <c r="L9" s="4">
        <f t="shared" si="5"/>
        <v>2</v>
      </c>
      <c r="M9" s="4" t="str">
        <f t="shared" ref="M9" si="12">MID($B9,C9+2,(D9-2)-C9)</f>
        <v>Value</v>
      </c>
      <c r="N9" s="4" t="str">
        <f t="shared" ref="N9" si="13">MID($B9,D9,IF(E9=D9,1,E9-D9+1))</f>
        <v>&lt;</v>
      </c>
      <c r="O9" s="20" t="str">
        <f t="shared" ref="O9" si="14">MID($B9,E9+1,F9-E9)</f>
        <v xml:space="preserve"> 4047.5 </v>
      </c>
      <c r="P9" s="19" t="str">
        <f t="shared" ref="P9" si="15">IF(N9="&lt;","&gt;=",IF(N9="&lt;=","&gt;",IF(N9="&gt;","&lt;=",IF(N9="&gt;=","&lt;",IF(N9="=","&lt;&gt;")))))</f>
        <v>&gt;=</v>
      </c>
      <c r="Q9" s="21" t="str">
        <f>MID($B9,F9+1,(G9-1)-F9)</f>
        <v xml:space="preserve">7016 </v>
      </c>
      <c r="R9" s="21" t="str">
        <f t="shared" si="7"/>
        <v>69783.57000</v>
      </c>
      <c r="S9" s="21">
        <f t="shared" si="8"/>
        <v>0.3</v>
      </c>
      <c r="U9" s="4">
        <f t="shared" ref="U9" si="16">IF(RIGHT(B9,1)="*",2,0)</f>
        <v>0</v>
      </c>
      <c r="V9" s="4">
        <f t="shared" ref="V9" si="17">LEN(A9)</f>
        <v>50</v>
      </c>
      <c r="W9" s="4">
        <f t="shared" ref="W9" si="18">LEN(B9)</f>
        <v>47</v>
      </c>
      <c r="X9" s="4">
        <f t="shared" ref="X9" si="19">(V9-U9)-W9</f>
        <v>3</v>
      </c>
      <c r="Z9" s="4" t="str">
        <f>IFERROR(INDEX('8a. Rename'!$C:$C,MATCH($M9,'8a. Rename'!$A:$A,0)),$M9)</f>
        <v>Value</v>
      </c>
      <c r="AA9" s="4" t="str">
        <f>IF(AB9="Fine",IF(N9="=","=",IF(N9="&lt;","&lt;",IF(N9="&lt;=","&lt;=",IF(N9="&gt;","&gt;",IF(N9="&gt;=","&gt;=")))))&amp;" "&amp;O9,$AB9)</f>
        <v xml:space="preserve">&lt;  4047.5 </v>
      </c>
      <c r="AB9" t="str">
        <f>IF(INDEX('8a. Rename'!$B:$B,MATCH($Z9,'8a. Rename'!$C:$C,0))="HotKey",IF(OR(N9="&lt;",N9="&lt;="),"FALSE","TRUE"),"Fine")</f>
        <v>Fine</v>
      </c>
    </row>
    <row r="10" spans="1:28" x14ac:dyDescent="0.3">
      <c r="A10" s="22" t="s">
        <v>1811</v>
      </c>
      <c r="B10" s="4" t="str">
        <f t="shared" ref="B10" si="20">MID(A10,FIND(MID(TRIM(A10),1,1),A10),LEN(A10))</f>
        <v xml:space="preserve">4) Prop_Licence_Years&gt;=7.5 6836  47154.51000 0.28148230  </v>
      </c>
      <c r="C10" s="4">
        <f t="shared" si="1"/>
        <v>2</v>
      </c>
      <c r="D10" s="4">
        <f t="shared" si="9"/>
        <v>22</v>
      </c>
      <c r="E10" s="4">
        <f t="shared" ref="E10" si="21">MAX(IFERROR(FIND("&lt;",$B10,$D10+1),$D10),IFERROR(FIND("=",$B10,$D10+1),$D10),IFERROR(FIND("&gt;",$B10,$D10+1),0),IF(MID($B10,$D10,1)="&amp;",D10+3))</f>
        <v>23</v>
      </c>
      <c r="F10" s="7">
        <f t="shared" ref="F10" si="22">FIND("~",SUBSTITUTE(LEFT($B10,G10)," ","~",LEN(LEFT($B10,G10))-2-LEN(SUBSTITUTE(LEFT($B10,G10-2)," ",""))))</f>
        <v>27</v>
      </c>
      <c r="G10" s="7">
        <f t="shared" ref="G10" si="23">FIND("~",SUBSTITUTE(LEFT($B10,H10)," ","~",LEN(LEFT($B10,H10))-2-LEN(SUBSTITUTE(LEFT($B10,H10-2)," ",""))))</f>
        <v>33</v>
      </c>
      <c r="H10" s="7">
        <f t="shared" ref="H10" si="24">FIND("~",SUBSTITUTE($B10," ","~",LEN($B10)-2-LEN(SUBSTITUTE(LEFT($B10,I10-2)," ",""))))</f>
        <v>45</v>
      </c>
      <c r="I10" s="7">
        <f t="shared" ref="I10" si="25">LEN(B10)</f>
        <v>57</v>
      </c>
      <c r="J10" s="4">
        <f t="shared" si="4"/>
        <v>0</v>
      </c>
      <c r="L10" s="4">
        <f t="shared" ref="L10" si="26">VALUE(LEFT(B10,$C10-1))</f>
        <v>4</v>
      </c>
      <c r="M10" s="4" t="str">
        <f t="shared" ref="M10" si="27">MID($B10,C10+2,(D10-2)-C10)</f>
        <v>Prop_Licence_Years</v>
      </c>
      <c r="N10" s="4" t="str">
        <f t="shared" ref="N10" si="28">MID($B10,D10,IF(E10=D10,1,E10-D10+1))</f>
        <v>&gt;=</v>
      </c>
      <c r="O10" s="20" t="str">
        <f t="shared" ref="O10" si="29">MID($B10,E10+1,F10-E10)</f>
        <v xml:space="preserve">7.5 </v>
      </c>
      <c r="P10" s="19" t="str">
        <f t="shared" ref="P10" si="30">IF(N10="&lt;","&gt;=",IF(N10="&lt;=","&gt;",IF(N10="&gt;","&lt;=",IF(N10="&gt;=","&lt;",IF(N10="=","&lt;&gt;")))))</f>
        <v>&lt;</v>
      </c>
      <c r="Q10" s="21" t="str">
        <f t="shared" ref="Q10" si="31">MID($B10,F10+1,(G10-1)-F10)</f>
        <v xml:space="preserve">6836 </v>
      </c>
      <c r="R10" s="21" t="str">
        <f t="shared" ref="R10" si="32">MID($B10,G10+1,(H10-1)-G10)</f>
        <v>47154.51000</v>
      </c>
      <c r="S10" s="21">
        <f t="shared" ref="S10" si="33">ROUND(MID($B10,H10+1,(I10-1)-H10),2)</f>
        <v>0.28000000000000003</v>
      </c>
      <c r="U10" s="4">
        <f t="shared" ref="U10" si="34">IF(RIGHT(B10,1)="*",2,0)</f>
        <v>0</v>
      </c>
      <c r="V10" s="4">
        <f t="shared" ref="V10" si="35">LEN(A10)</f>
        <v>62</v>
      </c>
      <c r="W10" s="4">
        <f t="shared" ref="W10" si="36">LEN(B10)</f>
        <v>57</v>
      </c>
      <c r="X10" s="4">
        <f t="shared" ref="X10" si="37">(V10-U10)-W10</f>
        <v>5</v>
      </c>
      <c r="Z10" s="4" t="str">
        <f>IFERROR(INDEX('8a. Rename'!$C:$C,MATCH($M10,'8a. Rename'!$A:$A,0)),$M10)</f>
        <v>Prop_Licence_Years</v>
      </c>
      <c r="AA10" s="4" t="str">
        <f t="shared" ref="AA10" si="38">IF(AB10="Fine",IF(N10="=","=",IF(N10="&lt;","&lt;",IF(N10="&lt;=","&lt;=",IF(N10="&gt;","&gt;",IF(N10="&gt;=","&gt;=")))))&amp;" "&amp;O10,$AB10)</f>
        <v xml:space="preserve">&gt;= 7.5 </v>
      </c>
      <c r="AB10" t="str">
        <f>IF(INDEX('8a. Rename'!$B:$B,MATCH($Z10,'8a. Rename'!$C:$C,0))="HotKey",IF(OR(N10="&lt;",N10="&lt;="),"FALSE","TRUE"),"Fine")</f>
        <v>Fine</v>
      </c>
    </row>
    <row r="11" spans="1:28" x14ac:dyDescent="0.3">
      <c r="A11" t="s">
        <v>1812</v>
      </c>
      <c r="B11" s="4" t="str">
        <f t="shared" ref="B11:B16" si="39">MID(A11,FIND(MID(TRIM(A11),1,1),A11),LEN(A11))</f>
        <v>8) MirrorBonus_year_Private.Car&gt;=0.5 2467   7373.47900 0.16316600 *</v>
      </c>
      <c r="C11" s="4">
        <f t="shared" si="1"/>
        <v>2</v>
      </c>
      <c r="D11" s="4">
        <f t="shared" si="9"/>
        <v>32</v>
      </c>
      <c r="E11" s="4">
        <f t="shared" ref="E11:E16" si="40">MAX(IFERROR(FIND("&lt;",$B11,$D11+1),$D11),IFERROR(FIND("=",$B11,$D11+1),$D11),IFERROR(FIND("&gt;",$B11,$D11+1),0),IF(MID($B11,$D11,1)="&amp;",D11+3))</f>
        <v>33</v>
      </c>
      <c r="F11" s="7">
        <f t="shared" ref="F11:F16" si="41">FIND("~",SUBSTITUTE(LEFT($B11,G11)," ","~",LEN(LEFT($B11,G11))-2-LEN(SUBSTITUTE(LEFT($B11,G11-2)," ",""))))</f>
        <v>42</v>
      </c>
      <c r="G11" s="7">
        <f t="shared" ref="G11:G16" si="42">FIND("~",SUBSTITUTE(LEFT($B11,H11)," ","~",LEN(LEFT($B11,H11))-2-LEN(SUBSTITUTE(LEFT($B11,H11-2)," ",""))))</f>
        <v>44</v>
      </c>
      <c r="H11" s="7">
        <f t="shared" ref="H11:H16" si="43">FIND("~",SUBSTITUTE($B11," ","~",LEN($B11)-2-LEN(SUBSTITUTE(LEFT($B11,I11-2)," ",""))))</f>
        <v>55</v>
      </c>
      <c r="I11" s="7">
        <f t="shared" ref="I11:I16" si="44">LEN(B11)</f>
        <v>67</v>
      </c>
      <c r="J11" s="4">
        <f t="shared" si="4"/>
        <v>1</v>
      </c>
      <c r="L11" s="4">
        <f t="shared" ref="L11:L16" si="45">VALUE(LEFT(B11,$C11-1))</f>
        <v>8</v>
      </c>
      <c r="M11" s="4" t="str">
        <f t="shared" ref="M11:M16" si="46">MID($B11,C11+2,(D11-2)-C11)</f>
        <v>MirrorBonus_year_Private.Car</v>
      </c>
      <c r="N11" s="4" t="str">
        <f t="shared" ref="N11:N16" si="47">MID($B11,D11,IF(E11=D11,1,E11-D11+1))</f>
        <v>&gt;=</v>
      </c>
      <c r="O11" s="20" t="str">
        <f t="shared" ref="O11:O16" si="48">MID($B11,E11+1,F11-E11)</f>
        <v xml:space="preserve">0.5 2467 </v>
      </c>
      <c r="P11" s="19" t="str">
        <f t="shared" ref="P11:P16" si="49">IF(N11="&lt;","&gt;=",IF(N11="&lt;=","&gt;",IF(N11="&gt;","&lt;=",IF(N11="&gt;=","&lt;",IF(N11="=","&lt;&gt;")))))</f>
        <v>&lt;</v>
      </c>
      <c r="Q11" s="21" t="str">
        <f t="shared" ref="Q11:Q16" si="50">MID($B11,F11+1,(G11-1)-F11)</f>
        <v xml:space="preserve"> </v>
      </c>
      <c r="R11" s="21" t="str">
        <f t="shared" ref="R11:R16" si="51">MID($B11,G11+1,(H11-1)-G11)</f>
        <v>7373.47900</v>
      </c>
      <c r="S11" s="21">
        <f t="shared" ref="S11:S16" si="52">ROUND(MID($B11,H11+1,(I11-1)-H11),2)</f>
        <v>0.16</v>
      </c>
      <c r="U11" s="4">
        <f t="shared" ref="U11:U16" si="53">IF(RIGHT(B11,1)="*",2,0)</f>
        <v>2</v>
      </c>
      <c r="V11" s="4">
        <f t="shared" ref="V11:V16" si="54">LEN(A11)</f>
        <v>74</v>
      </c>
      <c r="W11" s="4">
        <f t="shared" ref="W11:W16" si="55">LEN(B11)</f>
        <v>67</v>
      </c>
      <c r="X11" s="4">
        <f t="shared" ref="X11:X16" si="56">(V11-U11)-W11</f>
        <v>5</v>
      </c>
      <c r="Z11" s="4" t="str">
        <f>IFERROR(INDEX('8a. Rename'!$C:$C,MATCH($M11,'8a. Rename'!$A:$A,0)),$M11)</f>
        <v>MirrorBonus_year_Private.Car</v>
      </c>
      <c r="AA11" s="4" t="str">
        <f t="shared" ref="AA11:AA16" si="57">IF(AB11="Fine",IF(N11="=","=",IF(N11="&lt;","&lt;",IF(N11="&lt;=","&lt;=",IF(N11="&gt;","&gt;",IF(N11="&gt;=","&gt;=")))))&amp;" "&amp;O11,$AB11)</f>
        <v>TRUE</v>
      </c>
      <c r="AB11" t="str">
        <f>IF(INDEX('8a. Rename'!$B:$B,MATCH($Z11,'8a. Rename'!$C:$C,0))="HotKey",IF(OR(N11="&lt;",N11="&lt;="),"FALSE","TRUE"),"Fine")</f>
        <v>TRUE</v>
      </c>
    </row>
    <row r="12" spans="1:28" x14ac:dyDescent="0.3">
      <c r="A12" t="s">
        <v>1813</v>
      </c>
      <c r="B12" s="4" t="str">
        <f t="shared" si="39"/>
        <v xml:space="preserve">9) MirrorBonus_year_Private.Car&lt; 0.5 4369  39726.99000 0.34829080  </v>
      </c>
      <c r="C12" s="4">
        <f t="shared" si="1"/>
        <v>2</v>
      </c>
      <c r="D12" s="4">
        <f t="shared" si="9"/>
        <v>32</v>
      </c>
      <c r="E12" s="4">
        <f t="shared" si="40"/>
        <v>32</v>
      </c>
      <c r="F12" s="7">
        <f t="shared" si="41"/>
        <v>37</v>
      </c>
      <c r="G12" s="7">
        <f t="shared" si="42"/>
        <v>43</v>
      </c>
      <c r="H12" s="7">
        <f t="shared" si="43"/>
        <v>55</v>
      </c>
      <c r="I12" s="7">
        <f t="shared" si="44"/>
        <v>67</v>
      </c>
      <c r="J12" s="4">
        <f t="shared" si="4"/>
        <v>0</v>
      </c>
      <c r="L12" s="4">
        <f t="shared" si="45"/>
        <v>9</v>
      </c>
      <c r="M12" s="4" t="str">
        <f t="shared" si="46"/>
        <v>MirrorBonus_year_Private.Car</v>
      </c>
      <c r="N12" s="4" t="str">
        <f t="shared" si="47"/>
        <v>&lt;</v>
      </c>
      <c r="O12" s="20" t="str">
        <f t="shared" si="48"/>
        <v xml:space="preserve"> 0.5 </v>
      </c>
      <c r="P12" s="19" t="str">
        <f t="shared" si="49"/>
        <v>&gt;=</v>
      </c>
      <c r="Q12" s="21" t="str">
        <f t="shared" si="50"/>
        <v xml:space="preserve">4369 </v>
      </c>
      <c r="R12" s="21" t="str">
        <f t="shared" si="51"/>
        <v>39726.99000</v>
      </c>
      <c r="S12" s="21">
        <f t="shared" si="52"/>
        <v>0.35</v>
      </c>
      <c r="U12" s="4">
        <f t="shared" si="53"/>
        <v>0</v>
      </c>
      <c r="V12" s="4">
        <f t="shared" si="54"/>
        <v>74</v>
      </c>
      <c r="W12" s="4">
        <f t="shared" si="55"/>
        <v>67</v>
      </c>
      <c r="X12" s="4">
        <f t="shared" si="56"/>
        <v>7</v>
      </c>
      <c r="Z12" s="4" t="str">
        <f>IFERROR(INDEX('8a. Rename'!$C:$C,MATCH($M12,'8a. Rename'!$A:$A,0)),$M12)</f>
        <v>MirrorBonus_year_Private.Car</v>
      </c>
      <c r="AA12" s="4" t="str">
        <f t="shared" si="57"/>
        <v>FALSE</v>
      </c>
      <c r="AB12" t="str">
        <f>IF(INDEX('8a. Rename'!$B:$B,MATCH($Z12,'8a. Rename'!$C:$C,0))="HotKey",IF(OR(N12="&lt;",N12="&lt;="),"FALSE","TRUE"),"Fine")</f>
        <v>FALSE</v>
      </c>
    </row>
    <row r="13" spans="1:28" x14ac:dyDescent="0.3">
      <c r="A13" t="s">
        <v>1814</v>
      </c>
      <c r="B13" s="4" t="str">
        <f t="shared" si="39"/>
        <v>18) PaymentFrequency_Monthly&gt;=0.5 2415  10757.99000 0.26015500 *</v>
      </c>
      <c r="C13" s="4">
        <f t="shared" si="1"/>
        <v>3</v>
      </c>
      <c r="D13" s="4">
        <f t="shared" si="9"/>
        <v>29</v>
      </c>
      <c r="E13" s="4">
        <f t="shared" si="40"/>
        <v>30</v>
      </c>
      <c r="F13" s="7">
        <f t="shared" si="41"/>
        <v>34</v>
      </c>
      <c r="G13" s="7">
        <f t="shared" si="42"/>
        <v>40</v>
      </c>
      <c r="H13" s="7">
        <f t="shared" si="43"/>
        <v>52</v>
      </c>
      <c r="I13" s="7">
        <f t="shared" si="44"/>
        <v>64</v>
      </c>
      <c r="J13" s="4">
        <f t="shared" si="4"/>
        <v>1</v>
      </c>
      <c r="L13" s="4">
        <f t="shared" si="45"/>
        <v>18</v>
      </c>
      <c r="M13" s="4" t="str">
        <f t="shared" si="46"/>
        <v>PaymentFrequency_Monthly</v>
      </c>
      <c r="N13" s="4" t="str">
        <f t="shared" si="47"/>
        <v>&gt;=</v>
      </c>
      <c r="O13" s="20" t="str">
        <f t="shared" si="48"/>
        <v xml:space="preserve">0.5 </v>
      </c>
      <c r="P13" s="19" t="str">
        <f t="shared" si="49"/>
        <v>&lt;</v>
      </c>
      <c r="Q13" s="21" t="str">
        <f t="shared" si="50"/>
        <v xml:space="preserve">2415 </v>
      </c>
      <c r="R13" s="21" t="str">
        <f t="shared" si="51"/>
        <v>10757.99000</v>
      </c>
      <c r="S13" s="21">
        <f t="shared" si="52"/>
        <v>0.26</v>
      </c>
      <c r="U13" s="4">
        <f t="shared" si="53"/>
        <v>2</v>
      </c>
      <c r="V13" s="4">
        <f t="shared" si="54"/>
        <v>72</v>
      </c>
      <c r="W13" s="4">
        <f t="shared" si="55"/>
        <v>64</v>
      </c>
      <c r="X13" s="4">
        <f t="shared" si="56"/>
        <v>6</v>
      </c>
      <c r="Z13" s="4" t="str">
        <f>IFERROR(INDEX('8a. Rename'!$C:$C,MATCH($M13,'8a. Rename'!$A:$A,0)),$M13)</f>
        <v>PaymentFrequency_Monthly</v>
      </c>
      <c r="AA13" s="4" t="str">
        <f t="shared" si="57"/>
        <v>TRUE</v>
      </c>
      <c r="AB13" t="str">
        <f>IF(INDEX('8a. Rename'!$B:$B,MATCH($Z13,'8a. Rename'!$C:$C,0))="HotKey",IF(OR(N13="&lt;",N13="&lt;="),"FALSE","TRUE"),"Fine")</f>
        <v>TRUE</v>
      </c>
    </row>
    <row r="14" spans="1:28" x14ac:dyDescent="0.3">
      <c r="A14" t="s">
        <v>1815</v>
      </c>
      <c r="B14" s="4" t="str">
        <f t="shared" si="39"/>
        <v xml:space="preserve">19) PaymentFrequency_Monthly&lt; 0.5 1954  28927.06000 0.45722010  </v>
      </c>
      <c r="C14" s="4">
        <f t="shared" si="1"/>
        <v>3</v>
      </c>
      <c r="D14" s="4">
        <f t="shared" si="9"/>
        <v>29</v>
      </c>
      <c r="E14" s="4">
        <f t="shared" si="40"/>
        <v>29</v>
      </c>
      <c r="F14" s="7">
        <f t="shared" si="41"/>
        <v>34</v>
      </c>
      <c r="G14" s="7">
        <f t="shared" si="42"/>
        <v>40</v>
      </c>
      <c r="H14" s="7">
        <f t="shared" si="43"/>
        <v>52</v>
      </c>
      <c r="I14" s="7">
        <f t="shared" si="44"/>
        <v>64</v>
      </c>
      <c r="J14" s="4">
        <f t="shared" si="4"/>
        <v>0</v>
      </c>
      <c r="L14" s="4">
        <f t="shared" si="45"/>
        <v>19</v>
      </c>
      <c r="M14" s="4" t="str">
        <f t="shared" si="46"/>
        <v>PaymentFrequency_Monthly</v>
      </c>
      <c r="N14" s="4" t="str">
        <f t="shared" si="47"/>
        <v>&lt;</v>
      </c>
      <c r="O14" s="20" t="str">
        <f t="shared" si="48"/>
        <v xml:space="preserve"> 0.5 </v>
      </c>
      <c r="P14" s="19" t="str">
        <f t="shared" si="49"/>
        <v>&gt;=</v>
      </c>
      <c r="Q14" s="21" t="str">
        <f t="shared" si="50"/>
        <v xml:space="preserve">1954 </v>
      </c>
      <c r="R14" s="21" t="str">
        <f t="shared" si="51"/>
        <v>28927.06000</v>
      </c>
      <c r="S14" s="21">
        <f t="shared" si="52"/>
        <v>0.46</v>
      </c>
      <c r="U14" s="4">
        <f t="shared" si="53"/>
        <v>0</v>
      </c>
      <c r="V14" s="4">
        <f t="shared" si="54"/>
        <v>72</v>
      </c>
      <c r="W14" s="4">
        <f t="shared" si="55"/>
        <v>64</v>
      </c>
      <c r="X14" s="4">
        <f t="shared" si="56"/>
        <v>8</v>
      </c>
      <c r="Z14" s="4" t="str">
        <f>IFERROR(INDEX('8a. Rename'!$C:$C,MATCH($M14,'8a. Rename'!$A:$A,0)),$M14)</f>
        <v>PaymentFrequency_Monthly</v>
      </c>
      <c r="AA14" s="4" t="str">
        <f t="shared" si="57"/>
        <v>FALSE</v>
      </c>
      <c r="AB14" t="str">
        <f>IF(INDEX('8a. Rename'!$B:$B,MATCH($Z14,'8a. Rename'!$C:$C,0))="HotKey",IF(OR(N14="&lt;",N14="&lt;="),"FALSE","TRUE"),"Fine")</f>
        <v>FALSE</v>
      </c>
    </row>
    <row r="15" spans="1:28" x14ac:dyDescent="0.3">
      <c r="A15" t="s">
        <v>1816</v>
      </c>
      <c r="B15" s="4" t="str">
        <f t="shared" si="39"/>
        <v>38) NumberSeats&lt; 5.5 1879  23817.80000 0.41136170 *</v>
      </c>
      <c r="C15" s="4">
        <f t="shared" si="1"/>
        <v>3</v>
      </c>
      <c r="D15" s="4">
        <f t="shared" si="9"/>
        <v>16</v>
      </c>
      <c r="E15" s="4">
        <f t="shared" si="40"/>
        <v>16</v>
      </c>
      <c r="F15" s="7">
        <f t="shared" si="41"/>
        <v>21</v>
      </c>
      <c r="G15" s="7">
        <f t="shared" si="42"/>
        <v>27</v>
      </c>
      <c r="H15" s="7">
        <f t="shared" si="43"/>
        <v>39</v>
      </c>
      <c r="I15" s="7">
        <f t="shared" si="44"/>
        <v>51</v>
      </c>
      <c r="J15" s="4">
        <f t="shared" si="4"/>
        <v>1</v>
      </c>
      <c r="L15" s="4">
        <f t="shared" si="45"/>
        <v>38</v>
      </c>
      <c r="M15" s="4" t="str">
        <f t="shared" si="46"/>
        <v>NumberSeats</v>
      </c>
      <c r="N15" s="4" t="str">
        <f t="shared" si="47"/>
        <v>&lt;</v>
      </c>
      <c r="O15" s="20" t="str">
        <f t="shared" si="48"/>
        <v xml:space="preserve"> 5.5 </v>
      </c>
      <c r="P15" s="19" t="str">
        <f t="shared" si="49"/>
        <v>&gt;=</v>
      </c>
      <c r="Q15" s="21" t="str">
        <f t="shared" si="50"/>
        <v xml:space="preserve">1879 </v>
      </c>
      <c r="R15" s="21" t="str">
        <f t="shared" si="51"/>
        <v>23817.80000</v>
      </c>
      <c r="S15" s="21">
        <f t="shared" si="52"/>
        <v>0.41</v>
      </c>
      <c r="U15" s="4">
        <f t="shared" si="53"/>
        <v>2</v>
      </c>
      <c r="V15" s="4">
        <f t="shared" si="54"/>
        <v>61</v>
      </c>
      <c r="W15" s="4">
        <f t="shared" si="55"/>
        <v>51</v>
      </c>
      <c r="X15" s="4">
        <f t="shared" si="56"/>
        <v>8</v>
      </c>
      <c r="Z15" s="4" t="str">
        <f>IFERROR(INDEX('8a. Rename'!$C:$C,MATCH($M15,'8a. Rename'!$A:$A,0)),$M15)</f>
        <v>NumberSeats</v>
      </c>
      <c r="AA15" s="4" t="str">
        <f t="shared" si="57"/>
        <v xml:space="preserve">&lt;  5.5 </v>
      </c>
      <c r="AB15" t="str">
        <f>IF(INDEX('8a. Rename'!$B:$B,MATCH($Z15,'8a. Rename'!$C:$C,0))="HotKey",IF(OR(N15="&lt;",N15="&lt;="),"FALSE","TRUE"),"Fine")</f>
        <v>Fine</v>
      </c>
    </row>
    <row r="16" spans="1:28" x14ac:dyDescent="0.3">
      <c r="A16" t="s">
        <v>1817</v>
      </c>
      <c r="B16" s="4" t="str">
        <f t="shared" si="39"/>
        <v>39) NumberSeats&gt;=5.5 75   5006.30900 1.60612600 *</v>
      </c>
      <c r="C16" s="4">
        <f t="shared" si="1"/>
        <v>3</v>
      </c>
      <c r="D16" s="4">
        <f t="shared" si="9"/>
        <v>16</v>
      </c>
      <c r="E16" s="4">
        <f t="shared" si="40"/>
        <v>17</v>
      </c>
      <c r="F16" s="7">
        <f t="shared" si="41"/>
        <v>24</v>
      </c>
      <c r="G16" s="7">
        <f t="shared" si="42"/>
        <v>26</v>
      </c>
      <c r="H16" s="7">
        <f t="shared" si="43"/>
        <v>37</v>
      </c>
      <c r="I16" s="7">
        <f t="shared" si="44"/>
        <v>49</v>
      </c>
      <c r="J16" s="4">
        <f t="shared" si="4"/>
        <v>1</v>
      </c>
      <c r="L16" s="4">
        <f t="shared" si="45"/>
        <v>39</v>
      </c>
      <c r="M16" s="4" t="str">
        <f t="shared" si="46"/>
        <v>NumberSeats</v>
      </c>
      <c r="N16" s="4" t="str">
        <f t="shared" si="47"/>
        <v>&gt;=</v>
      </c>
      <c r="O16" s="20" t="str">
        <f t="shared" si="48"/>
        <v xml:space="preserve">5.5 75 </v>
      </c>
      <c r="P16" s="19" t="str">
        <f t="shared" si="49"/>
        <v>&lt;</v>
      </c>
      <c r="Q16" s="21" t="str">
        <f t="shared" si="50"/>
        <v xml:space="preserve"> </v>
      </c>
      <c r="R16" s="21" t="str">
        <f t="shared" si="51"/>
        <v>5006.30900</v>
      </c>
      <c r="S16" s="21">
        <f t="shared" si="52"/>
        <v>1.61</v>
      </c>
      <c r="U16" s="4">
        <f t="shared" si="53"/>
        <v>2</v>
      </c>
      <c r="V16" s="4">
        <f t="shared" si="54"/>
        <v>59</v>
      </c>
      <c r="W16" s="4">
        <f t="shared" si="55"/>
        <v>49</v>
      </c>
      <c r="X16" s="4">
        <f t="shared" si="56"/>
        <v>8</v>
      </c>
      <c r="Z16" s="4" t="str">
        <f>IFERROR(INDEX('8a. Rename'!$C:$C,MATCH($M16,'8a. Rename'!$A:$A,0)),$M16)</f>
        <v>NumberSeats</v>
      </c>
      <c r="AA16" s="4" t="str">
        <f t="shared" si="57"/>
        <v xml:space="preserve">&gt;= 5.5 75 </v>
      </c>
      <c r="AB16" t="str">
        <f>IF(INDEX('8a. Rename'!$B:$B,MATCH($Z16,'8a. Rename'!$C:$C,0))="HotKey",IF(OR(N16="&lt;",N16="&lt;="),"FALSE","TRUE"),"Fine")</f>
        <v>Fine</v>
      </c>
    </row>
    <row r="17" spans="1:28" x14ac:dyDescent="0.3">
      <c r="A17" t="s">
        <v>1818</v>
      </c>
      <c r="B17" s="4" t="str">
        <f t="shared" ref="B17:B22" si="58">MID(A17,FIND(MID(TRIM(A17),1,1),A17),LEN(A17))</f>
        <v xml:space="preserve">5) Prop_Licence_Years&lt; 7.5 180  22518.61000 1.07503800  </v>
      </c>
      <c r="C17" s="4">
        <f t="shared" si="1"/>
        <v>2</v>
      </c>
      <c r="D17" s="4">
        <f t="shared" si="9"/>
        <v>22</v>
      </c>
      <c r="E17" s="4">
        <f t="shared" ref="E17:E22" si="59">MAX(IFERROR(FIND("&lt;",$B17,$D17+1),$D17),IFERROR(FIND("=",$B17,$D17+1),$D17),IFERROR(FIND("&gt;",$B17,$D17+1),0),IF(MID($B17,$D17,1)="&amp;",D17+3))</f>
        <v>22</v>
      </c>
      <c r="F17" s="7">
        <f t="shared" ref="F17:F22" si="60">FIND("~",SUBSTITUTE(LEFT($B17,G17)," ","~",LEN(LEFT($B17,G17))-2-LEN(SUBSTITUTE(LEFT($B17,G17-2)," ",""))))</f>
        <v>27</v>
      </c>
      <c r="G17" s="7">
        <f t="shared" ref="G17:G22" si="61">FIND("~",SUBSTITUTE(LEFT($B17,H17)," ","~",LEN(LEFT($B17,H17))-2-LEN(SUBSTITUTE(LEFT($B17,H17-2)," ",""))))</f>
        <v>32</v>
      </c>
      <c r="H17" s="7">
        <f t="shared" ref="H17:H22" si="62">FIND("~",SUBSTITUTE($B17," ","~",LEN($B17)-2-LEN(SUBSTITUTE(LEFT($B17,I17-2)," ",""))))</f>
        <v>44</v>
      </c>
      <c r="I17" s="7">
        <f t="shared" ref="I17:I22" si="63">LEN(B17)</f>
        <v>56</v>
      </c>
      <c r="J17" s="4">
        <f t="shared" si="4"/>
        <v>0</v>
      </c>
      <c r="L17" s="4">
        <f t="shared" ref="L17:L22" si="64">VALUE(LEFT(B17,$C17-1))</f>
        <v>5</v>
      </c>
      <c r="M17" s="4" t="str">
        <f t="shared" ref="M17:M22" si="65">MID($B17,C17+2,(D17-2)-C17)</f>
        <v>Prop_Licence_Years</v>
      </c>
      <c r="N17" s="4" t="str">
        <f t="shared" ref="N17:N22" si="66">MID($B17,D17,IF(E17=D17,1,E17-D17+1))</f>
        <v>&lt;</v>
      </c>
      <c r="O17" s="20" t="str">
        <f t="shared" ref="O17:O22" si="67">MID($B17,E17+1,F17-E17)</f>
        <v xml:space="preserve"> 7.5 </v>
      </c>
      <c r="P17" s="19" t="str">
        <f t="shared" ref="P17:P22" si="68">IF(N17="&lt;","&gt;=",IF(N17="&lt;=","&gt;",IF(N17="&gt;","&lt;=",IF(N17="&gt;=","&lt;",IF(N17="=","&lt;&gt;")))))</f>
        <v>&gt;=</v>
      </c>
      <c r="Q17" s="21" t="str">
        <f t="shared" ref="Q17:Q22" si="69">MID($B17,F17+1,(G17-1)-F17)</f>
        <v xml:space="preserve">180 </v>
      </c>
      <c r="R17" s="21" t="str">
        <f t="shared" ref="R17:R22" si="70">MID($B17,G17+1,(H17-1)-G17)</f>
        <v>22518.61000</v>
      </c>
      <c r="S17" s="21">
        <f t="shared" ref="S17:S22" si="71">ROUND(MID($B17,H17+1,(I17-1)-H17),2)</f>
        <v>1.08</v>
      </c>
      <c r="U17" s="4">
        <f t="shared" ref="U17:U22" si="72">IF(RIGHT(B17,1)="*",2,0)</f>
        <v>0</v>
      </c>
      <c r="V17" s="4">
        <f t="shared" ref="V17:V22" si="73">LEN(A17)</f>
        <v>61</v>
      </c>
      <c r="W17" s="4">
        <f t="shared" ref="W17:W22" si="74">LEN(B17)</f>
        <v>56</v>
      </c>
      <c r="X17" s="4">
        <f t="shared" ref="X17:X22" si="75">(V17-U17)-W17</f>
        <v>5</v>
      </c>
      <c r="Z17" s="4" t="str">
        <f>IFERROR(INDEX('8a. Rename'!$C:$C,MATCH($M17,'8a. Rename'!$A:$A,0)),$M17)</f>
        <v>Prop_Licence_Years</v>
      </c>
      <c r="AA17" s="4" t="str">
        <f t="shared" ref="AA17:AA22" si="76">IF(AB17="Fine",IF(N17="=","=",IF(N17="&lt;","&lt;",IF(N17="&lt;=","&lt;=",IF(N17="&gt;","&gt;",IF(N17="&gt;=","&gt;=")))))&amp;" "&amp;O17,$AB17)</f>
        <v xml:space="preserve">&lt;  7.5 </v>
      </c>
      <c r="AB17" t="str">
        <f>IF(INDEX('8a. Rename'!$B:$B,MATCH($Z17,'8a. Rename'!$C:$C,0))="HotKey",IF(OR(N17="&lt;",N17="&lt;="),"FALSE","TRUE"),"Fine")</f>
        <v>Fine</v>
      </c>
    </row>
    <row r="18" spans="1:28" x14ac:dyDescent="0.3">
      <c r="A18" t="s">
        <v>1819</v>
      </c>
      <c r="B18" s="4" t="str">
        <f t="shared" si="58"/>
        <v>10) VolXS&lt; 475 102    145.34060 0.17853690 *</v>
      </c>
      <c r="C18" s="4">
        <f t="shared" si="1"/>
        <v>3</v>
      </c>
      <c r="D18" s="4">
        <f t="shared" si="9"/>
        <v>10</v>
      </c>
      <c r="E18" s="4">
        <f t="shared" si="59"/>
        <v>10</v>
      </c>
      <c r="F18" s="7">
        <f t="shared" si="60"/>
        <v>20</v>
      </c>
      <c r="G18" s="7">
        <f t="shared" si="61"/>
        <v>22</v>
      </c>
      <c r="H18" s="7">
        <f t="shared" si="62"/>
        <v>32</v>
      </c>
      <c r="I18" s="7">
        <f t="shared" si="63"/>
        <v>44</v>
      </c>
      <c r="J18" s="4">
        <f t="shared" si="4"/>
        <v>1</v>
      </c>
      <c r="L18" s="4">
        <f t="shared" si="64"/>
        <v>10</v>
      </c>
      <c r="M18" s="4" t="str">
        <f t="shared" si="65"/>
        <v>VolXS</v>
      </c>
      <c r="N18" s="4" t="str">
        <f t="shared" si="66"/>
        <v>&lt;</v>
      </c>
      <c r="O18" s="20" t="str">
        <f t="shared" si="67"/>
        <v xml:space="preserve"> 475 102  </v>
      </c>
      <c r="P18" s="19" t="str">
        <f t="shared" si="68"/>
        <v>&gt;=</v>
      </c>
      <c r="Q18" s="21" t="str">
        <f t="shared" si="69"/>
        <v xml:space="preserve"> </v>
      </c>
      <c r="R18" s="21" t="str">
        <f t="shared" si="70"/>
        <v>145.34060</v>
      </c>
      <c r="S18" s="21">
        <f t="shared" si="71"/>
        <v>0.18</v>
      </c>
      <c r="U18" s="4">
        <f t="shared" si="72"/>
        <v>2</v>
      </c>
      <c r="V18" s="4">
        <f t="shared" si="73"/>
        <v>50</v>
      </c>
      <c r="W18" s="4">
        <f t="shared" si="74"/>
        <v>44</v>
      </c>
      <c r="X18" s="4">
        <f t="shared" si="75"/>
        <v>4</v>
      </c>
      <c r="Z18" s="4" t="str">
        <f>IFERROR(INDEX('8a. Rename'!$C:$C,MATCH($M18,'8a. Rename'!$A:$A,0)),$M18)</f>
        <v>VolXS</v>
      </c>
      <c r="AA18" s="4" t="str">
        <f t="shared" si="76"/>
        <v xml:space="preserve">&lt;  475 102  </v>
      </c>
      <c r="AB18" t="str">
        <f>IF(INDEX('8a. Rename'!$B:$B,MATCH($Z18,'8a. Rename'!$C:$C,0))="HotKey",IF(OR(N18="&lt;",N18="&lt;="),"FALSE","TRUE"),"Fine")</f>
        <v>Fine</v>
      </c>
    </row>
    <row r="19" spans="1:28" x14ac:dyDescent="0.3">
      <c r="A19" t="s">
        <v>1820</v>
      </c>
      <c r="B19" s="4" t="str">
        <f t="shared" si="58"/>
        <v>11) VolXS&gt;=475 78  22184.09000 2.24738600 *</v>
      </c>
      <c r="C19" s="4">
        <f t="shared" si="1"/>
        <v>3</v>
      </c>
      <c r="D19" s="4">
        <f t="shared" si="9"/>
        <v>10</v>
      </c>
      <c r="E19" s="4">
        <f t="shared" si="59"/>
        <v>11</v>
      </c>
      <c r="F19" s="7">
        <f t="shared" si="60"/>
        <v>15</v>
      </c>
      <c r="G19" s="7">
        <f t="shared" si="61"/>
        <v>19</v>
      </c>
      <c r="H19" s="7">
        <f t="shared" si="62"/>
        <v>31</v>
      </c>
      <c r="I19" s="7">
        <f t="shared" si="63"/>
        <v>43</v>
      </c>
      <c r="J19" s="4">
        <f t="shared" si="4"/>
        <v>1</v>
      </c>
      <c r="L19" s="4">
        <f t="shared" si="64"/>
        <v>11</v>
      </c>
      <c r="M19" s="4" t="str">
        <f t="shared" si="65"/>
        <v>VolXS</v>
      </c>
      <c r="N19" s="4" t="str">
        <f t="shared" si="66"/>
        <v>&gt;=</v>
      </c>
      <c r="O19" s="20" t="str">
        <f t="shared" si="67"/>
        <v xml:space="preserve">475 </v>
      </c>
      <c r="P19" s="19" t="str">
        <f t="shared" si="68"/>
        <v>&lt;</v>
      </c>
      <c r="Q19" s="21" t="str">
        <f t="shared" si="69"/>
        <v xml:space="preserve">78 </v>
      </c>
      <c r="R19" s="21" t="str">
        <f t="shared" si="70"/>
        <v>22184.09000</v>
      </c>
      <c r="S19" s="21">
        <f t="shared" si="71"/>
        <v>2.25</v>
      </c>
      <c r="U19" s="4">
        <f t="shared" si="72"/>
        <v>2</v>
      </c>
      <c r="V19" s="4">
        <f t="shared" si="73"/>
        <v>49</v>
      </c>
      <c r="W19" s="4">
        <f t="shared" si="74"/>
        <v>43</v>
      </c>
      <c r="X19" s="4">
        <f t="shared" si="75"/>
        <v>4</v>
      </c>
      <c r="Z19" s="4" t="str">
        <f>IFERROR(INDEX('8a. Rename'!$C:$C,MATCH($M19,'8a. Rename'!$A:$A,0)),$M19)</f>
        <v>VolXS</v>
      </c>
      <c r="AA19" s="4" t="str">
        <f t="shared" si="76"/>
        <v xml:space="preserve">&gt;= 475 </v>
      </c>
      <c r="AB19" t="str">
        <f>IF(INDEX('8a. Rename'!$B:$B,MATCH($Z19,'8a. Rename'!$C:$C,0))="HotKey",IF(OR(N19="&lt;",N19="&lt;="),"FALSE","TRUE"),"Fine")</f>
        <v>Fine</v>
      </c>
    </row>
    <row r="20" spans="1:28" x14ac:dyDescent="0.3">
      <c r="A20" t="s">
        <v>1821</v>
      </c>
      <c r="B20" s="4" t="str">
        <f t="shared" si="58"/>
        <v xml:space="preserve">3) Value&gt;=4047.5 12378 368524.70000 0.60762320  </v>
      </c>
      <c r="C20" s="4">
        <f t="shared" si="1"/>
        <v>2</v>
      </c>
      <c r="D20" s="4">
        <f t="shared" si="9"/>
        <v>9</v>
      </c>
      <c r="E20" s="4">
        <f t="shared" si="59"/>
        <v>10</v>
      </c>
      <c r="F20" s="7">
        <f t="shared" si="60"/>
        <v>17</v>
      </c>
      <c r="G20" s="7">
        <f t="shared" si="61"/>
        <v>23</v>
      </c>
      <c r="H20" s="7">
        <f t="shared" si="62"/>
        <v>36</v>
      </c>
      <c r="I20" s="7">
        <f t="shared" si="63"/>
        <v>48</v>
      </c>
      <c r="J20" s="4">
        <f t="shared" si="4"/>
        <v>0</v>
      </c>
      <c r="L20" s="4">
        <f t="shared" si="64"/>
        <v>3</v>
      </c>
      <c r="M20" s="4" t="str">
        <f t="shared" si="65"/>
        <v>Value</v>
      </c>
      <c r="N20" s="4" t="str">
        <f t="shared" si="66"/>
        <v>&gt;=</v>
      </c>
      <c r="O20" s="20" t="str">
        <f t="shared" si="67"/>
        <v xml:space="preserve">4047.5 </v>
      </c>
      <c r="P20" s="19" t="str">
        <f t="shared" si="68"/>
        <v>&lt;</v>
      </c>
      <c r="Q20" s="21" t="str">
        <f t="shared" si="69"/>
        <v>12378</v>
      </c>
      <c r="R20" s="21" t="str">
        <f t="shared" si="70"/>
        <v>368524.70000</v>
      </c>
      <c r="S20" s="21">
        <f t="shared" si="71"/>
        <v>0.61</v>
      </c>
      <c r="U20" s="4">
        <f t="shared" si="72"/>
        <v>0</v>
      </c>
      <c r="V20" s="4">
        <f t="shared" si="73"/>
        <v>51</v>
      </c>
      <c r="W20" s="4">
        <f t="shared" si="74"/>
        <v>48</v>
      </c>
      <c r="X20" s="4">
        <f t="shared" si="75"/>
        <v>3</v>
      </c>
      <c r="Z20" s="4" t="str">
        <f>IFERROR(INDEX('8a. Rename'!$C:$C,MATCH($M20,'8a. Rename'!$A:$A,0)),$M20)</f>
        <v>Value</v>
      </c>
      <c r="AA20" s="4" t="str">
        <f t="shared" si="76"/>
        <v xml:space="preserve">&gt;= 4047.5 </v>
      </c>
      <c r="AB20" t="str">
        <f>IF(INDEX('8a. Rename'!$B:$B,MATCH($Z20,'8a. Rename'!$C:$C,0))="HotKey",IF(OR(N20="&lt;",N20="&lt;="),"FALSE","TRUE"),"Fine")</f>
        <v>Fine</v>
      </c>
    </row>
    <row r="21" spans="1:28" x14ac:dyDescent="0.3">
      <c r="A21" t="s">
        <v>1822</v>
      </c>
      <c r="B21" s="4" t="str">
        <f t="shared" si="58"/>
        <v xml:space="preserve">6) Mileage&lt; 10127.5 9478 212864.10000 0.52810460  </v>
      </c>
      <c r="C21" s="4">
        <f t="shared" si="1"/>
        <v>2</v>
      </c>
      <c r="D21" s="4">
        <f t="shared" si="9"/>
        <v>11</v>
      </c>
      <c r="E21" s="4">
        <f t="shared" si="59"/>
        <v>11</v>
      </c>
      <c r="F21" s="7">
        <f t="shared" si="60"/>
        <v>20</v>
      </c>
      <c r="G21" s="7">
        <f t="shared" si="61"/>
        <v>25</v>
      </c>
      <c r="H21" s="7">
        <f t="shared" si="62"/>
        <v>38</v>
      </c>
      <c r="I21" s="7">
        <f t="shared" si="63"/>
        <v>50</v>
      </c>
      <c r="J21" s="4">
        <f t="shared" si="4"/>
        <v>0</v>
      </c>
      <c r="L21" s="4">
        <f t="shared" si="64"/>
        <v>6</v>
      </c>
      <c r="M21" s="4" t="str">
        <f t="shared" si="65"/>
        <v>Mileage</v>
      </c>
      <c r="N21" s="4" t="str">
        <f t="shared" si="66"/>
        <v>&lt;</v>
      </c>
      <c r="O21" s="20" t="str">
        <f t="shared" si="67"/>
        <v xml:space="preserve"> 10127.5 </v>
      </c>
      <c r="P21" s="19" t="str">
        <f t="shared" si="68"/>
        <v>&gt;=</v>
      </c>
      <c r="Q21" s="21" t="str">
        <f t="shared" si="69"/>
        <v>9478</v>
      </c>
      <c r="R21" s="21" t="str">
        <f t="shared" si="70"/>
        <v>212864.10000</v>
      </c>
      <c r="S21" s="21">
        <f t="shared" si="71"/>
        <v>0.53</v>
      </c>
      <c r="U21" s="4">
        <f t="shared" si="72"/>
        <v>0</v>
      </c>
      <c r="V21" s="4">
        <f t="shared" si="73"/>
        <v>55</v>
      </c>
      <c r="W21" s="4">
        <f t="shared" si="74"/>
        <v>50</v>
      </c>
      <c r="X21" s="4">
        <f t="shared" si="75"/>
        <v>5</v>
      </c>
      <c r="Z21" s="4" t="str">
        <f>IFERROR(INDEX('8a. Rename'!$C:$C,MATCH($M21,'8a. Rename'!$A:$A,0)),$M21)</f>
        <v>Mileage</v>
      </c>
      <c r="AA21" s="4" t="str">
        <f t="shared" si="76"/>
        <v xml:space="preserve">&lt;  10127.5 </v>
      </c>
      <c r="AB21" t="str">
        <f>IF(INDEX('8a. Rename'!$B:$B,MATCH($Z21,'8a. Rename'!$C:$C,0))="HotKey",IF(OR(N21="&lt;",N21="&lt;="),"FALSE","TRUE"),"Fine")</f>
        <v>Fine</v>
      </c>
    </row>
    <row r="22" spans="1:28" x14ac:dyDescent="0.3">
      <c r="A22" t="s">
        <v>1823</v>
      </c>
      <c r="B22" s="4" t="str">
        <f t="shared" si="58"/>
        <v xml:space="preserve">12) R_ND_Conv_Code_1_SP30&lt; 0.5 9251 200909.90000 0.50324040  </v>
      </c>
      <c r="C22" s="4">
        <f t="shared" si="1"/>
        <v>3</v>
      </c>
      <c r="D22" s="4">
        <f t="shared" si="9"/>
        <v>26</v>
      </c>
      <c r="E22" s="4">
        <f t="shared" si="59"/>
        <v>26</v>
      </c>
      <c r="F22" s="7">
        <f t="shared" si="60"/>
        <v>31</v>
      </c>
      <c r="G22" s="7">
        <f t="shared" si="61"/>
        <v>36</v>
      </c>
      <c r="H22" s="7">
        <f t="shared" si="62"/>
        <v>49</v>
      </c>
      <c r="I22" s="7">
        <f t="shared" si="63"/>
        <v>61</v>
      </c>
      <c r="J22" s="4">
        <f t="shared" si="4"/>
        <v>0</v>
      </c>
      <c r="L22" s="4">
        <f t="shared" si="64"/>
        <v>12</v>
      </c>
      <c r="M22" s="4" t="str">
        <f t="shared" si="65"/>
        <v>R_ND_Conv_Code_1_SP30</v>
      </c>
      <c r="N22" s="4" t="str">
        <f t="shared" si="66"/>
        <v>&lt;</v>
      </c>
      <c r="O22" s="20" t="str">
        <f t="shared" si="67"/>
        <v xml:space="preserve"> 0.5 </v>
      </c>
      <c r="P22" s="19" t="str">
        <f t="shared" si="68"/>
        <v>&gt;=</v>
      </c>
      <c r="Q22" s="21" t="str">
        <f t="shared" si="69"/>
        <v>9251</v>
      </c>
      <c r="R22" s="21" t="str">
        <f t="shared" si="70"/>
        <v>200909.90000</v>
      </c>
      <c r="S22" s="21">
        <f t="shared" si="71"/>
        <v>0.5</v>
      </c>
      <c r="U22" s="4">
        <f t="shared" si="72"/>
        <v>0</v>
      </c>
      <c r="V22" s="4">
        <f t="shared" si="73"/>
        <v>67</v>
      </c>
      <c r="W22" s="4">
        <f t="shared" si="74"/>
        <v>61</v>
      </c>
      <c r="X22" s="4">
        <f t="shared" si="75"/>
        <v>6</v>
      </c>
      <c r="Z22" s="4" t="str">
        <f>IFERROR(INDEX('8a. Rename'!$C:$C,MATCH($M22,'8a. Rename'!$A:$A,0)),$M22)</f>
        <v>R_ND_Conv_Code_1_SP30</v>
      </c>
      <c r="AA22" s="4" t="str">
        <f t="shared" si="76"/>
        <v>FALSE</v>
      </c>
      <c r="AB22" t="str">
        <f>IF(INDEX('8a. Rename'!$B:$B,MATCH($Z22,'8a. Rename'!$C:$C,0))="HotKey",IF(OR(N22="&lt;",N22="&lt;="),"FALSE","TRUE"),"Fine")</f>
        <v>FALSE</v>
      </c>
    </row>
    <row r="23" spans="1:28" x14ac:dyDescent="0.3">
      <c r="A23" t="s">
        <v>1824</v>
      </c>
      <c r="B23" s="4" t="str">
        <f t="shared" ref="B23:B24" si="77">MID(A23,FIND(MID(TRIM(A23),1,1),A23),LEN(A23))</f>
        <v xml:space="preserve">24) Prop_Licence_Years&gt;=11.5 8670 151743.20000 0.46791340  </v>
      </c>
      <c r="C23" s="4">
        <f t="shared" si="1"/>
        <v>3</v>
      </c>
      <c r="D23" s="4">
        <f t="shared" si="9"/>
        <v>23</v>
      </c>
      <c r="E23" s="4">
        <f t="shared" ref="E23:E24" si="78">MAX(IFERROR(FIND("&lt;",$B23,$D23+1),$D23),IFERROR(FIND("=",$B23,$D23+1),$D23),IFERROR(FIND("&gt;",$B23,$D23+1),0),IF(MID($B23,$D23,1)="&amp;",D23+3))</f>
        <v>24</v>
      </c>
      <c r="F23" s="7">
        <f t="shared" ref="F23:F24" si="79">FIND("~",SUBSTITUTE(LEFT($B23,G23)," ","~",LEN(LEFT($B23,G23))-2-LEN(SUBSTITUTE(LEFT($B23,G23-2)," ",""))))</f>
        <v>29</v>
      </c>
      <c r="G23" s="7">
        <f t="shared" ref="G23:G24" si="80">FIND("~",SUBSTITUTE(LEFT($B23,H23)," ","~",LEN(LEFT($B23,H23))-2-LEN(SUBSTITUTE(LEFT($B23,H23-2)," ",""))))</f>
        <v>34</v>
      </c>
      <c r="H23" s="7">
        <f t="shared" ref="H23:H24" si="81">FIND("~",SUBSTITUTE($B23," ","~",LEN($B23)-2-LEN(SUBSTITUTE(LEFT($B23,I23-2)," ",""))))</f>
        <v>47</v>
      </c>
      <c r="I23" s="7">
        <f t="shared" ref="I23:I24" si="82">LEN(B23)</f>
        <v>59</v>
      </c>
      <c r="J23" s="4">
        <f t="shared" si="4"/>
        <v>0</v>
      </c>
      <c r="L23" s="4">
        <f t="shared" ref="L23:L24" si="83">VALUE(LEFT(B23,$C23-1))</f>
        <v>24</v>
      </c>
      <c r="M23" s="4" t="str">
        <f t="shared" ref="M23:M24" si="84">MID($B23,C23+2,(D23-2)-C23)</f>
        <v>Prop_Licence_Years</v>
      </c>
      <c r="N23" s="4" t="str">
        <f t="shared" ref="N23:N24" si="85">MID($B23,D23,IF(E23=D23,1,E23-D23+1))</f>
        <v>&gt;=</v>
      </c>
      <c r="O23" s="20" t="str">
        <f t="shared" ref="O23:O24" si="86">MID($B23,E23+1,F23-E23)</f>
        <v xml:space="preserve">11.5 </v>
      </c>
      <c r="P23" s="19" t="str">
        <f t="shared" ref="P23:P24" si="87">IF(N23="&lt;","&gt;=",IF(N23="&lt;=","&gt;",IF(N23="&gt;","&lt;=",IF(N23="&gt;=","&lt;",IF(N23="=","&lt;&gt;")))))</f>
        <v>&lt;</v>
      </c>
      <c r="Q23" s="21" t="str">
        <f t="shared" ref="Q23:Q24" si="88">MID($B23,F23+1,(G23-1)-F23)</f>
        <v>8670</v>
      </c>
      <c r="R23" s="21" t="str">
        <f t="shared" ref="R23:R24" si="89">MID($B23,G23+1,(H23-1)-G23)</f>
        <v>151743.20000</v>
      </c>
      <c r="S23" s="21">
        <f t="shared" ref="S23:S24" si="90">ROUND(MID($B23,H23+1,(I23-1)-H23),2)</f>
        <v>0.47</v>
      </c>
      <c r="U23" s="4">
        <f t="shared" ref="U23:U24" si="91">IF(RIGHT(B23,1)="*",2,0)</f>
        <v>0</v>
      </c>
      <c r="V23" s="4">
        <f t="shared" ref="V23:V24" si="92">LEN(A23)</f>
        <v>67</v>
      </c>
      <c r="W23" s="4">
        <f t="shared" ref="W23:W24" si="93">LEN(B23)</f>
        <v>59</v>
      </c>
      <c r="X23" s="4">
        <f t="shared" ref="X23:X24" si="94">(V23-U23)-W23</f>
        <v>8</v>
      </c>
      <c r="Z23" s="4" t="str">
        <f>IFERROR(INDEX('8a. Rename'!$C:$C,MATCH($M23,'8a. Rename'!$A:$A,0)),$M23)</f>
        <v>Prop_Licence_Years</v>
      </c>
      <c r="AA23" s="4" t="str">
        <f t="shared" ref="AA23:AA24" si="95">IF(AB23="Fine",IF(N23="=","=",IF(N23="&lt;","&lt;",IF(N23="&lt;=","&lt;=",IF(N23="&gt;","&gt;",IF(N23="&gt;=","&gt;=")))))&amp;" "&amp;O23,$AB23)</f>
        <v xml:space="preserve">&gt;= 11.5 </v>
      </c>
      <c r="AB23" t="str">
        <f>IF(INDEX('8a. Rename'!$B:$B,MATCH($Z23,'8a. Rename'!$C:$C,0))="HotKey",IF(OR(N23="&lt;",N23="&lt;="),"FALSE","TRUE"),"Fine")</f>
        <v>Fine</v>
      </c>
    </row>
    <row r="24" spans="1:28" x14ac:dyDescent="0.3">
      <c r="A24" t="s">
        <v>1825</v>
      </c>
      <c r="B24" s="4" t="str">
        <f t="shared" si="77"/>
        <v>48) YearOfMake&gt;=2006.5 8439 138952.20000 0.44972430 *</v>
      </c>
      <c r="C24" s="4">
        <f t="shared" si="1"/>
        <v>3</v>
      </c>
      <c r="D24" s="4">
        <f t="shared" si="9"/>
        <v>15</v>
      </c>
      <c r="E24" s="4">
        <f t="shared" si="78"/>
        <v>16</v>
      </c>
      <c r="F24" s="7">
        <f t="shared" si="79"/>
        <v>23</v>
      </c>
      <c r="G24" s="7">
        <f t="shared" si="80"/>
        <v>28</v>
      </c>
      <c r="H24" s="7">
        <f t="shared" si="81"/>
        <v>41</v>
      </c>
      <c r="I24" s="7">
        <f t="shared" si="82"/>
        <v>53</v>
      </c>
      <c r="J24" s="4">
        <f t="shared" si="4"/>
        <v>1</v>
      </c>
      <c r="L24" s="4">
        <f t="shared" si="83"/>
        <v>48</v>
      </c>
      <c r="M24" s="4" t="str">
        <f t="shared" si="84"/>
        <v>YearOfMake</v>
      </c>
      <c r="N24" s="4" t="str">
        <f t="shared" si="85"/>
        <v>&gt;=</v>
      </c>
      <c r="O24" s="20" t="str">
        <f t="shared" si="86"/>
        <v xml:space="preserve">2006.5 </v>
      </c>
      <c r="P24" s="19" t="str">
        <f t="shared" si="87"/>
        <v>&lt;</v>
      </c>
      <c r="Q24" s="21" t="str">
        <f t="shared" si="88"/>
        <v>8439</v>
      </c>
      <c r="R24" s="21" t="str">
        <f t="shared" si="89"/>
        <v>138952.20000</v>
      </c>
      <c r="S24" s="21">
        <f t="shared" si="90"/>
        <v>0.45</v>
      </c>
      <c r="U24" s="4">
        <f t="shared" si="91"/>
        <v>2</v>
      </c>
      <c r="V24" s="4">
        <f t="shared" si="92"/>
        <v>63</v>
      </c>
      <c r="W24" s="4">
        <f t="shared" si="93"/>
        <v>53</v>
      </c>
      <c r="X24" s="4">
        <f t="shared" si="94"/>
        <v>8</v>
      </c>
      <c r="Z24" s="4" t="str">
        <f>IFERROR(INDEX('8a. Rename'!$C:$C,MATCH($M24,'8a. Rename'!$A:$A,0)),$M24)</f>
        <v>YearOfMake</v>
      </c>
      <c r="AA24" s="4" t="str">
        <f t="shared" si="95"/>
        <v xml:space="preserve">&gt;= 2006.5 </v>
      </c>
      <c r="AB24" t="str">
        <f>IF(INDEX('8a. Rename'!$B:$B,MATCH($Z24,'8a. Rename'!$C:$C,0))="HotKey",IF(OR(N24="&lt;",N24="&lt;="),"FALSE","TRUE"),"Fine")</f>
        <v>Fine</v>
      </c>
    </row>
    <row r="25" spans="1:28" x14ac:dyDescent="0.3">
      <c r="A25" t="s">
        <v>1826</v>
      </c>
      <c r="B25" s="4" t="str">
        <f t="shared" ref="B25:B32" si="96">MID(A25,FIND(MID(TRIM(A25),1,1),A25),LEN(A25))</f>
        <v>49) YearOfMake&lt; 2006.5 231  12686.20000 1.13240800 *</v>
      </c>
      <c r="C25" s="4">
        <f t="shared" si="1"/>
        <v>3</v>
      </c>
      <c r="D25" s="4">
        <f t="shared" si="9"/>
        <v>15</v>
      </c>
      <c r="E25" s="4">
        <f t="shared" ref="E25:E32" si="97">MAX(IFERROR(FIND("&lt;",$B25,$D25+1),$D25),IFERROR(FIND("=",$B25,$D25+1),$D25),IFERROR(FIND("&gt;",$B25,$D25+1),0),IF(MID($B25,$D25,1)="&amp;",D25+3))</f>
        <v>15</v>
      </c>
      <c r="F25" s="7">
        <f t="shared" ref="F25:F32" si="98">FIND("~",SUBSTITUTE(LEFT($B25,G25)," ","~",LEN(LEFT($B25,G25))-2-LEN(SUBSTITUTE(LEFT($B25,G25-2)," ",""))))</f>
        <v>23</v>
      </c>
      <c r="G25" s="7">
        <f t="shared" ref="G25:G32" si="99">FIND("~",SUBSTITUTE(LEFT($B25,H25)," ","~",LEN(LEFT($B25,H25))-2-LEN(SUBSTITUTE(LEFT($B25,H25-2)," ",""))))</f>
        <v>28</v>
      </c>
      <c r="H25" s="7">
        <f t="shared" ref="H25:H32" si="100">FIND("~",SUBSTITUTE($B25," ","~",LEN($B25)-2-LEN(SUBSTITUTE(LEFT($B25,I25-2)," ",""))))</f>
        <v>40</v>
      </c>
      <c r="I25" s="7">
        <f t="shared" ref="I25:I32" si="101">LEN(B25)</f>
        <v>52</v>
      </c>
      <c r="J25" s="4">
        <f t="shared" si="4"/>
        <v>1</v>
      </c>
      <c r="L25" s="4">
        <f t="shared" ref="L25:L32" si="102">VALUE(LEFT(B25,$C25-1))</f>
        <v>49</v>
      </c>
      <c r="M25" s="4" t="str">
        <f t="shared" ref="M25:M32" si="103">MID($B25,C25+2,(D25-2)-C25)</f>
        <v>YearOfMake</v>
      </c>
      <c r="N25" s="4" t="str">
        <f t="shared" ref="N25:N32" si="104">MID($B25,D25,IF(E25=D25,1,E25-D25+1))</f>
        <v>&lt;</v>
      </c>
      <c r="O25" s="20" t="str">
        <f t="shared" ref="O25:O32" si="105">MID($B25,E25+1,F25-E25)</f>
        <v xml:space="preserve"> 2006.5 </v>
      </c>
      <c r="P25" s="19" t="str">
        <f t="shared" ref="P25:P32" si="106">IF(N25="&lt;","&gt;=",IF(N25="&lt;=","&gt;",IF(N25="&gt;","&lt;=",IF(N25="&gt;=","&lt;",IF(N25="=","&lt;&gt;")))))</f>
        <v>&gt;=</v>
      </c>
      <c r="Q25" s="21" t="str">
        <f t="shared" ref="Q25:Q32" si="107">MID($B25,F25+1,(G25-1)-F25)</f>
        <v xml:space="preserve">231 </v>
      </c>
      <c r="R25" s="21" t="str">
        <f t="shared" ref="R25:R32" si="108">MID($B25,G25+1,(H25-1)-G25)</f>
        <v>12686.20000</v>
      </c>
      <c r="S25" s="21">
        <f t="shared" ref="S25:S32" si="109">ROUND(MID($B25,H25+1,(I25-1)-H25),2)</f>
        <v>1.1299999999999999</v>
      </c>
      <c r="U25" s="4">
        <f t="shared" ref="U25:U32" si="110">IF(RIGHT(B25,1)="*",2,0)</f>
        <v>2</v>
      </c>
      <c r="V25" s="4">
        <f t="shared" ref="V25:V32" si="111">LEN(A25)</f>
        <v>62</v>
      </c>
      <c r="W25" s="4">
        <f t="shared" ref="W25:W32" si="112">LEN(B25)</f>
        <v>52</v>
      </c>
      <c r="X25" s="4">
        <f t="shared" ref="X25:X32" si="113">(V25-U25)-W25</f>
        <v>8</v>
      </c>
      <c r="Z25" s="4" t="str">
        <f>IFERROR(INDEX('8a. Rename'!$C:$C,MATCH($M25,'8a. Rename'!$A:$A,0)),$M25)</f>
        <v>YearOfMake</v>
      </c>
      <c r="AA25" s="4" t="str">
        <f t="shared" ref="AA25:AA32" si="114">IF(AB25="Fine",IF(N25="=","=",IF(N25="&lt;","&lt;",IF(N25="&lt;=","&lt;=",IF(N25="&gt;","&gt;",IF(N25="&gt;=","&gt;=")))))&amp;" "&amp;O25,$AB25)</f>
        <v xml:space="preserve">&lt;  2006.5 </v>
      </c>
      <c r="AB25" t="str">
        <f>IF(INDEX('8a. Rename'!$B:$B,MATCH($Z25,'8a. Rename'!$C:$C,0))="HotKey",IF(OR(N25="&lt;",N25="&lt;="),"FALSE","TRUE"),"Fine")</f>
        <v>Fine</v>
      </c>
    </row>
    <row r="26" spans="1:28" x14ac:dyDescent="0.3">
      <c r="A26" t="s">
        <v>1827</v>
      </c>
      <c r="B26" s="4" t="str">
        <f t="shared" si="96"/>
        <v xml:space="preserve">25) Prop_Licence_Years&lt; 11.5 581  48994.43000 1.03040800  </v>
      </c>
      <c r="C26" s="4">
        <f t="shared" si="1"/>
        <v>3</v>
      </c>
      <c r="D26" s="4">
        <f t="shared" si="9"/>
        <v>23</v>
      </c>
      <c r="E26" s="4">
        <f t="shared" si="97"/>
        <v>23</v>
      </c>
      <c r="F26" s="7">
        <f t="shared" si="98"/>
        <v>29</v>
      </c>
      <c r="G26" s="7">
        <f t="shared" si="99"/>
        <v>34</v>
      </c>
      <c r="H26" s="7">
        <f t="shared" si="100"/>
        <v>46</v>
      </c>
      <c r="I26" s="7">
        <f t="shared" si="101"/>
        <v>58</v>
      </c>
      <c r="J26" s="4">
        <f t="shared" si="4"/>
        <v>0</v>
      </c>
      <c r="L26" s="4">
        <f t="shared" si="102"/>
        <v>25</v>
      </c>
      <c r="M26" s="4" t="str">
        <f t="shared" si="103"/>
        <v>Prop_Licence_Years</v>
      </c>
      <c r="N26" s="4" t="str">
        <f t="shared" si="104"/>
        <v>&lt;</v>
      </c>
      <c r="O26" s="20" t="str">
        <f t="shared" si="105"/>
        <v xml:space="preserve"> 11.5 </v>
      </c>
      <c r="P26" s="19" t="str">
        <f t="shared" si="106"/>
        <v>&gt;=</v>
      </c>
      <c r="Q26" s="21" t="str">
        <f t="shared" si="107"/>
        <v xml:space="preserve">581 </v>
      </c>
      <c r="R26" s="21" t="str">
        <f t="shared" si="108"/>
        <v>48994.43000</v>
      </c>
      <c r="S26" s="21">
        <f t="shared" si="109"/>
        <v>1.03</v>
      </c>
      <c r="U26" s="4">
        <f t="shared" si="110"/>
        <v>0</v>
      </c>
      <c r="V26" s="4">
        <f t="shared" si="111"/>
        <v>66</v>
      </c>
      <c r="W26" s="4">
        <f t="shared" si="112"/>
        <v>58</v>
      </c>
      <c r="X26" s="4">
        <f t="shared" si="113"/>
        <v>8</v>
      </c>
      <c r="Z26" s="4" t="str">
        <f>IFERROR(INDEX('8a. Rename'!$C:$C,MATCH($M26,'8a. Rename'!$A:$A,0)),$M26)</f>
        <v>Prop_Licence_Years</v>
      </c>
      <c r="AA26" s="4" t="str">
        <f t="shared" si="114"/>
        <v xml:space="preserve">&lt;  11.5 </v>
      </c>
      <c r="AB26" t="str">
        <f>IF(INDEX('8a. Rename'!$B:$B,MATCH($Z26,'8a. Rename'!$C:$C,0))="HotKey",IF(OR(N26="&lt;",N26="&lt;="),"FALSE","TRUE"),"Fine")</f>
        <v>Fine</v>
      </c>
    </row>
    <row r="27" spans="1:28" x14ac:dyDescent="0.3">
      <c r="A27" t="s">
        <v>1828</v>
      </c>
      <c r="B27" s="4" t="str">
        <f t="shared" si="96"/>
        <v>50) AffinityCode_ACCF&lt; 0.5 497   9078.63800 0.57515610 *</v>
      </c>
      <c r="C27" s="4">
        <f t="shared" si="1"/>
        <v>3</v>
      </c>
      <c r="D27" s="4">
        <f t="shared" si="9"/>
        <v>22</v>
      </c>
      <c r="E27" s="4">
        <f t="shared" si="97"/>
        <v>22</v>
      </c>
      <c r="F27" s="7">
        <f t="shared" si="98"/>
        <v>31</v>
      </c>
      <c r="G27" s="7">
        <f t="shared" si="99"/>
        <v>33</v>
      </c>
      <c r="H27" s="7">
        <f t="shared" si="100"/>
        <v>44</v>
      </c>
      <c r="I27" s="7">
        <f t="shared" si="101"/>
        <v>56</v>
      </c>
      <c r="J27" s="4">
        <f t="shared" si="4"/>
        <v>1</v>
      </c>
      <c r="L27" s="4">
        <f t="shared" si="102"/>
        <v>50</v>
      </c>
      <c r="M27" s="4" t="str">
        <f t="shared" si="103"/>
        <v>AffinityCode_ACCF</v>
      </c>
      <c r="N27" s="4" t="str">
        <f t="shared" si="104"/>
        <v>&lt;</v>
      </c>
      <c r="O27" s="20" t="str">
        <f t="shared" si="105"/>
        <v xml:space="preserve"> 0.5 497 </v>
      </c>
      <c r="P27" s="19" t="str">
        <f t="shared" si="106"/>
        <v>&gt;=</v>
      </c>
      <c r="Q27" s="21" t="str">
        <f t="shared" si="107"/>
        <v xml:space="preserve"> </v>
      </c>
      <c r="R27" s="21" t="str">
        <f t="shared" si="108"/>
        <v>9078.63800</v>
      </c>
      <c r="S27" s="21">
        <f t="shared" si="109"/>
        <v>0.57999999999999996</v>
      </c>
      <c r="U27" s="4">
        <f t="shared" si="110"/>
        <v>2</v>
      </c>
      <c r="V27" s="4">
        <f t="shared" si="111"/>
        <v>66</v>
      </c>
      <c r="W27" s="4">
        <f t="shared" si="112"/>
        <v>56</v>
      </c>
      <c r="X27" s="4">
        <f t="shared" si="113"/>
        <v>8</v>
      </c>
      <c r="Z27" s="4" t="str">
        <f>IFERROR(INDEX('8a. Rename'!$C:$C,MATCH($M27,'8a. Rename'!$A:$A,0)),$M27)</f>
        <v>AffinityCode_ACCF</v>
      </c>
      <c r="AA27" s="4" t="str">
        <f t="shared" si="114"/>
        <v>FALSE</v>
      </c>
      <c r="AB27" t="str">
        <f>IF(INDEX('8a. Rename'!$B:$B,MATCH($Z27,'8a. Rename'!$C:$C,0))="HotKey",IF(OR(N27="&lt;",N27="&lt;="),"FALSE","TRUE"),"Fine")</f>
        <v>FALSE</v>
      </c>
    </row>
    <row r="28" spans="1:28" x14ac:dyDescent="0.3">
      <c r="A28" t="s">
        <v>1829</v>
      </c>
      <c r="B28" s="4" t="str">
        <f t="shared" si="96"/>
        <v>51) AffinityCode_ACCF&gt;=0.5 84  39203.33000 3.72398400 *</v>
      </c>
      <c r="C28" s="4">
        <f t="shared" si="1"/>
        <v>3</v>
      </c>
      <c r="D28" s="4">
        <f t="shared" si="9"/>
        <v>22</v>
      </c>
      <c r="E28" s="4">
        <f t="shared" si="97"/>
        <v>23</v>
      </c>
      <c r="F28" s="7">
        <f t="shared" si="98"/>
        <v>27</v>
      </c>
      <c r="G28" s="7">
        <f t="shared" si="99"/>
        <v>31</v>
      </c>
      <c r="H28" s="7">
        <f t="shared" si="100"/>
        <v>43</v>
      </c>
      <c r="I28" s="7">
        <f t="shared" si="101"/>
        <v>55</v>
      </c>
      <c r="J28" s="4">
        <f t="shared" si="4"/>
        <v>1</v>
      </c>
      <c r="L28" s="4">
        <f t="shared" si="102"/>
        <v>51</v>
      </c>
      <c r="M28" s="4" t="str">
        <f t="shared" si="103"/>
        <v>AffinityCode_ACCF</v>
      </c>
      <c r="N28" s="4" t="str">
        <f t="shared" si="104"/>
        <v>&gt;=</v>
      </c>
      <c r="O28" s="20" t="str">
        <f t="shared" si="105"/>
        <v xml:space="preserve">0.5 </v>
      </c>
      <c r="P28" s="19" t="str">
        <f t="shared" si="106"/>
        <v>&lt;</v>
      </c>
      <c r="Q28" s="21" t="str">
        <f t="shared" si="107"/>
        <v xml:space="preserve">84 </v>
      </c>
      <c r="R28" s="21" t="str">
        <f t="shared" si="108"/>
        <v>39203.33000</v>
      </c>
      <c r="S28" s="21">
        <f t="shared" si="109"/>
        <v>3.72</v>
      </c>
      <c r="U28" s="4">
        <f t="shared" si="110"/>
        <v>2</v>
      </c>
      <c r="V28" s="4">
        <f t="shared" si="111"/>
        <v>65</v>
      </c>
      <c r="W28" s="4">
        <f t="shared" si="112"/>
        <v>55</v>
      </c>
      <c r="X28" s="4">
        <f t="shared" si="113"/>
        <v>8</v>
      </c>
      <c r="Z28" s="4" t="str">
        <f>IFERROR(INDEX('8a. Rename'!$C:$C,MATCH($M28,'8a. Rename'!$A:$A,0)),$M28)</f>
        <v>AffinityCode_ACCF</v>
      </c>
      <c r="AA28" s="4" t="str">
        <f t="shared" si="114"/>
        <v>TRUE</v>
      </c>
      <c r="AB28" t="str">
        <f>IF(INDEX('8a. Rename'!$B:$B,MATCH($Z28,'8a. Rename'!$C:$C,0))="HotKey",IF(OR(N28="&lt;",N28="&lt;="),"FALSE","TRUE"),"Fine")</f>
        <v>TRUE</v>
      </c>
    </row>
    <row r="29" spans="1:28" x14ac:dyDescent="0.3">
      <c r="A29" t="s">
        <v>1830</v>
      </c>
      <c r="B29" s="4" t="str">
        <f t="shared" si="96"/>
        <v xml:space="preserve">13) R_ND_Conv_Code_1_SP30&gt;=0.5 227  11715.40000 1.54140600  </v>
      </c>
      <c r="C29" s="4">
        <f t="shared" si="1"/>
        <v>3</v>
      </c>
      <c r="D29" s="4">
        <f t="shared" si="9"/>
        <v>26</v>
      </c>
      <c r="E29" s="4">
        <f t="shared" si="97"/>
        <v>27</v>
      </c>
      <c r="F29" s="7">
        <f t="shared" si="98"/>
        <v>31</v>
      </c>
      <c r="G29" s="7">
        <f t="shared" si="99"/>
        <v>36</v>
      </c>
      <c r="H29" s="7">
        <f t="shared" si="100"/>
        <v>48</v>
      </c>
      <c r="I29" s="7">
        <f t="shared" si="101"/>
        <v>60</v>
      </c>
      <c r="J29" s="4">
        <f t="shared" si="4"/>
        <v>0</v>
      </c>
      <c r="L29" s="4">
        <f t="shared" si="102"/>
        <v>13</v>
      </c>
      <c r="M29" s="4" t="str">
        <f t="shared" si="103"/>
        <v>R_ND_Conv_Code_1_SP30</v>
      </c>
      <c r="N29" s="4" t="str">
        <f t="shared" si="104"/>
        <v>&gt;=</v>
      </c>
      <c r="O29" s="20" t="str">
        <f t="shared" si="105"/>
        <v xml:space="preserve">0.5 </v>
      </c>
      <c r="P29" s="19" t="str">
        <f t="shared" si="106"/>
        <v>&lt;</v>
      </c>
      <c r="Q29" s="21" t="str">
        <f t="shared" si="107"/>
        <v xml:space="preserve">227 </v>
      </c>
      <c r="R29" s="21" t="str">
        <f t="shared" si="108"/>
        <v>11715.40000</v>
      </c>
      <c r="S29" s="21">
        <f t="shared" si="109"/>
        <v>1.54</v>
      </c>
      <c r="U29" s="4">
        <f t="shared" si="110"/>
        <v>0</v>
      </c>
      <c r="V29" s="4">
        <f t="shared" si="111"/>
        <v>66</v>
      </c>
      <c r="W29" s="4">
        <f t="shared" si="112"/>
        <v>60</v>
      </c>
      <c r="X29" s="4">
        <f t="shared" si="113"/>
        <v>6</v>
      </c>
      <c r="Z29" s="4" t="str">
        <f>IFERROR(INDEX('8a. Rename'!$C:$C,MATCH($M29,'8a. Rename'!$A:$A,0)),$M29)</f>
        <v>R_ND_Conv_Code_1_SP30</v>
      </c>
      <c r="AA29" s="4" t="str">
        <f t="shared" si="114"/>
        <v>TRUE</v>
      </c>
      <c r="AB29" t="str">
        <f>IF(INDEX('8a. Rename'!$B:$B,MATCH($Z29,'8a. Rename'!$C:$C,0))="HotKey",IF(OR(N29="&lt;",N29="&lt;="),"FALSE","TRUE"),"Fine")</f>
        <v>TRUE</v>
      </c>
    </row>
    <row r="30" spans="1:28" x14ac:dyDescent="0.3">
      <c r="A30" t="s">
        <v>1831</v>
      </c>
      <c r="B30" s="4" t="str">
        <f t="shared" si="96"/>
        <v>26) Occupation_Status_Employed&lt; 0.5 98     72.90824 0.10342750 *</v>
      </c>
      <c r="C30" s="4">
        <f t="shared" si="1"/>
        <v>3</v>
      </c>
      <c r="D30" s="4">
        <f t="shared" si="9"/>
        <v>31</v>
      </c>
      <c r="E30" s="4">
        <f t="shared" si="97"/>
        <v>31</v>
      </c>
      <c r="F30" s="7">
        <f t="shared" si="98"/>
        <v>41</v>
      </c>
      <c r="G30" s="7">
        <f t="shared" si="99"/>
        <v>43</v>
      </c>
      <c r="H30" s="7">
        <f t="shared" si="100"/>
        <v>52</v>
      </c>
      <c r="I30" s="7">
        <f t="shared" si="101"/>
        <v>64</v>
      </c>
      <c r="J30" s="4">
        <f t="shared" si="4"/>
        <v>1</v>
      </c>
      <c r="L30" s="4">
        <f t="shared" si="102"/>
        <v>26</v>
      </c>
      <c r="M30" s="4" t="str">
        <f t="shared" si="103"/>
        <v>Occupation_Status_Employed</v>
      </c>
      <c r="N30" s="4" t="str">
        <f t="shared" si="104"/>
        <v>&lt;</v>
      </c>
      <c r="O30" s="20" t="str">
        <f t="shared" si="105"/>
        <v xml:space="preserve"> 0.5 98   </v>
      </c>
      <c r="P30" s="19" t="str">
        <f t="shared" si="106"/>
        <v>&gt;=</v>
      </c>
      <c r="Q30" s="21" t="str">
        <f t="shared" si="107"/>
        <v xml:space="preserve"> </v>
      </c>
      <c r="R30" s="21" t="str">
        <f t="shared" si="108"/>
        <v>72.90824</v>
      </c>
      <c r="S30" s="21">
        <f t="shared" si="109"/>
        <v>0.1</v>
      </c>
      <c r="U30" s="4">
        <f t="shared" si="110"/>
        <v>2</v>
      </c>
      <c r="V30" s="4">
        <f t="shared" si="111"/>
        <v>72</v>
      </c>
      <c r="W30" s="4">
        <f t="shared" si="112"/>
        <v>64</v>
      </c>
      <c r="X30" s="4">
        <f t="shared" si="113"/>
        <v>6</v>
      </c>
      <c r="Z30" s="4" t="str">
        <f>IFERROR(INDEX('8a. Rename'!$C:$C,MATCH($M30,'8a. Rename'!$A:$A,0)),$M30)</f>
        <v>Occupation_Status_Employed</v>
      </c>
      <c r="AA30" s="4" t="str">
        <f t="shared" si="114"/>
        <v>FALSE</v>
      </c>
      <c r="AB30" t="str">
        <f>IF(INDEX('8a. Rename'!$B:$B,MATCH($Z30,'8a. Rename'!$C:$C,0))="HotKey",IF(OR(N30="&lt;",N30="&lt;="),"FALSE","TRUE"),"Fine")</f>
        <v>FALSE</v>
      </c>
    </row>
    <row r="31" spans="1:28" x14ac:dyDescent="0.3">
      <c r="A31" t="s">
        <v>1832</v>
      </c>
      <c r="B31" s="4" t="str">
        <f t="shared" si="96"/>
        <v>27) Occupation_Status_Employed&gt;=0.5 129  11285.91000 2.63382400 *</v>
      </c>
      <c r="C31" s="4">
        <f t="shared" si="1"/>
        <v>3</v>
      </c>
      <c r="D31" s="4">
        <f t="shared" si="9"/>
        <v>31</v>
      </c>
      <c r="E31" s="4">
        <f t="shared" si="97"/>
        <v>32</v>
      </c>
      <c r="F31" s="7">
        <f t="shared" si="98"/>
        <v>36</v>
      </c>
      <c r="G31" s="7">
        <f t="shared" si="99"/>
        <v>41</v>
      </c>
      <c r="H31" s="7">
        <f t="shared" si="100"/>
        <v>53</v>
      </c>
      <c r="I31" s="7">
        <f t="shared" si="101"/>
        <v>65</v>
      </c>
      <c r="J31" s="4">
        <f t="shared" si="4"/>
        <v>1</v>
      </c>
      <c r="L31" s="4">
        <f t="shared" si="102"/>
        <v>27</v>
      </c>
      <c r="M31" s="4" t="str">
        <f t="shared" si="103"/>
        <v>Occupation_Status_Employed</v>
      </c>
      <c r="N31" s="4" t="str">
        <f t="shared" si="104"/>
        <v>&gt;=</v>
      </c>
      <c r="O31" s="20" t="str">
        <f t="shared" si="105"/>
        <v xml:space="preserve">0.5 </v>
      </c>
      <c r="P31" s="19" t="str">
        <f t="shared" si="106"/>
        <v>&lt;</v>
      </c>
      <c r="Q31" s="21" t="str">
        <f t="shared" si="107"/>
        <v xml:space="preserve">129 </v>
      </c>
      <c r="R31" s="21" t="str">
        <f t="shared" si="108"/>
        <v>11285.91000</v>
      </c>
      <c r="S31" s="21">
        <f t="shared" si="109"/>
        <v>2.63</v>
      </c>
      <c r="U31" s="4">
        <f t="shared" si="110"/>
        <v>2</v>
      </c>
      <c r="V31" s="4">
        <f t="shared" si="111"/>
        <v>73</v>
      </c>
      <c r="W31" s="4">
        <f t="shared" si="112"/>
        <v>65</v>
      </c>
      <c r="X31" s="4">
        <f t="shared" si="113"/>
        <v>6</v>
      </c>
      <c r="Z31" s="4" t="str">
        <f>IFERROR(INDEX('8a. Rename'!$C:$C,MATCH($M31,'8a. Rename'!$A:$A,0)),$M31)</f>
        <v>Occupation_Status_Employed</v>
      </c>
      <c r="AA31" s="4" t="str">
        <f t="shared" si="114"/>
        <v>TRUE</v>
      </c>
      <c r="AB31" t="str">
        <f>IF(INDEX('8a. Rename'!$B:$B,MATCH($Z31,'8a. Rename'!$C:$C,0))="HotKey",IF(OR(N31="&lt;",N31="&lt;="),"FALSE","TRUE"),"Fine")</f>
        <v>TRUE</v>
      </c>
    </row>
    <row r="32" spans="1:28" x14ac:dyDescent="0.3">
      <c r="A32" t="s">
        <v>1833</v>
      </c>
      <c r="B32" s="4" t="str">
        <f t="shared" si="96"/>
        <v xml:space="preserve">7) Mileage&gt;=10127.5 2900 155404.70000 0.86751190  </v>
      </c>
      <c r="C32" s="4">
        <f t="shared" si="1"/>
        <v>2</v>
      </c>
      <c r="D32" s="4">
        <f t="shared" si="9"/>
        <v>11</v>
      </c>
      <c r="E32" s="4">
        <f t="shared" si="97"/>
        <v>12</v>
      </c>
      <c r="F32" s="7">
        <f t="shared" si="98"/>
        <v>20</v>
      </c>
      <c r="G32" s="7">
        <f t="shared" si="99"/>
        <v>25</v>
      </c>
      <c r="H32" s="7">
        <f t="shared" si="100"/>
        <v>38</v>
      </c>
      <c r="I32" s="7">
        <f t="shared" si="101"/>
        <v>50</v>
      </c>
      <c r="J32" s="4">
        <f t="shared" si="4"/>
        <v>0</v>
      </c>
      <c r="L32" s="4">
        <f t="shared" si="102"/>
        <v>7</v>
      </c>
      <c r="M32" s="4" t="str">
        <f t="shared" si="103"/>
        <v>Mileage</v>
      </c>
      <c r="N32" s="4" t="str">
        <f t="shared" si="104"/>
        <v>&gt;=</v>
      </c>
      <c r="O32" s="20" t="str">
        <f t="shared" si="105"/>
        <v xml:space="preserve">10127.5 </v>
      </c>
      <c r="P32" s="19" t="str">
        <f t="shared" si="106"/>
        <v>&lt;</v>
      </c>
      <c r="Q32" s="21" t="str">
        <f t="shared" si="107"/>
        <v>2900</v>
      </c>
      <c r="R32" s="21" t="str">
        <f t="shared" si="108"/>
        <v>155404.70000</v>
      </c>
      <c r="S32" s="21">
        <f t="shared" si="109"/>
        <v>0.87</v>
      </c>
      <c r="U32" s="4">
        <f t="shared" si="110"/>
        <v>0</v>
      </c>
      <c r="V32" s="4">
        <f t="shared" si="111"/>
        <v>55</v>
      </c>
      <c r="W32" s="4">
        <f t="shared" si="112"/>
        <v>50</v>
      </c>
      <c r="X32" s="4">
        <f t="shared" si="113"/>
        <v>5</v>
      </c>
      <c r="Z32" s="4" t="str">
        <f>IFERROR(INDEX('8a. Rename'!$C:$C,MATCH($M32,'8a. Rename'!$A:$A,0)),$M32)</f>
        <v>Mileage</v>
      </c>
      <c r="AA32" s="4" t="str">
        <f t="shared" si="114"/>
        <v xml:space="preserve">&gt;= 10127.5 </v>
      </c>
      <c r="AB32" t="str">
        <f>IF(INDEX('8a. Rename'!$B:$B,MATCH($Z32,'8a. Rename'!$C:$C,0))="HotKey",IF(OR(N32="&lt;",N32="&lt;="),"FALSE","TRUE"),"Fine")</f>
        <v>Fine</v>
      </c>
    </row>
    <row r="33" spans="1:28" x14ac:dyDescent="0.3">
      <c r="A33" t="s">
        <v>1834</v>
      </c>
      <c r="B33" s="4" t="str">
        <f t="shared" ref="B33:B44" si="115">MID(A33,FIND(MID(TRIM(A33),1,1),A33),LEN(A33))</f>
        <v xml:space="preserve">14) Unexpired_Convictions&lt; 0.5 2345  72097.83000 0.68356200  </v>
      </c>
      <c r="C33" s="4">
        <f t="shared" si="1"/>
        <v>3</v>
      </c>
      <c r="D33" s="4">
        <f t="shared" si="9"/>
        <v>26</v>
      </c>
      <c r="E33" s="4">
        <f t="shared" ref="E33:E44" si="116">MAX(IFERROR(FIND("&lt;",$B33,$D33+1),$D33),IFERROR(FIND("=",$B33,$D33+1),$D33),IFERROR(FIND("&gt;",$B33,$D33+1),0),IF(MID($B33,$D33,1)="&amp;",D33+3))</f>
        <v>26</v>
      </c>
      <c r="F33" s="7">
        <f t="shared" ref="F33:F44" si="117">FIND("~",SUBSTITUTE(LEFT($B33,G33)," ","~",LEN(LEFT($B33,G33))-2-LEN(SUBSTITUTE(LEFT($B33,G33-2)," ",""))))</f>
        <v>31</v>
      </c>
      <c r="G33" s="7">
        <f t="shared" ref="G33:G44" si="118">FIND("~",SUBSTITUTE(LEFT($B33,H33)," ","~",LEN(LEFT($B33,H33))-2-LEN(SUBSTITUTE(LEFT($B33,H33-2)," ",""))))</f>
        <v>37</v>
      </c>
      <c r="H33" s="7">
        <f t="shared" ref="H33:H44" si="119">FIND("~",SUBSTITUTE($B33," ","~",LEN($B33)-2-LEN(SUBSTITUTE(LEFT($B33,I33-2)," ",""))))</f>
        <v>49</v>
      </c>
      <c r="I33" s="7">
        <f t="shared" ref="I33:I44" si="120">LEN(B33)</f>
        <v>61</v>
      </c>
      <c r="J33" s="4">
        <f t="shared" si="4"/>
        <v>0</v>
      </c>
      <c r="L33" s="4">
        <f t="shared" ref="L33:L44" si="121">VALUE(LEFT(B33,$C33-1))</f>
        <v>14</v>
      </c>
      <c r="M33" s="4" t="str">
        <f t="shared" ref="M33:M44" si="122">MID($B33,C33+2,(D33-2)-C33)</f>
        <v>Unexpired_Convictions</v>
      </c>
      <c r="N33" s="4" t="str">
        <f t="shared" ref="N33:N44" si="123">MID($B33,D33,IF(E33=D33,1,E33-D33+1))</f>
        <v>&lt;</v>
      </c>
      <c r="O33" s="20" t="str">
        <f t="shared" ref="O33:O44" si="124">MID($B33,E33+1,F33-E33)</f>
        <v xml:space="preserve"> 0.5 </v>
      </c>
      <c r="P33" s="19" t="str">
        <f t="shared" ref="P33:P44" si="125">IF(N33="&lt;","&gt;=",IF(N33="&lt;=","&gt;",IF(N33="&gt;","&lt;=",IF(N33="&gt;=","&lt;",IF(N33="=","&lt;&gt;")))))</f>
        <v>&gt;=</v>
      </c>
      <c r="Q33" s="21" t="str">
        <f t="shared" ref="Q33:Q44" si="126">MID($B33,F33+1,(G33-1)-F33)</f>
        <v xml:space="preserve">2345 </v>
      </c>
      <c r="R33" s="21" t="str">
        <f t="shared" ref="R33:R44" si="127">MID($B33,G33+1,(H33-1)-G33)</f>
        <v>72097.83000</v>
      </c>
      <c r="S33" s="21">
        <f t="shared" ref="S33:S44" si="128">ROUND(MID($B33,H33+1,(I33-1)-H33),2)</f>
        <v>0.68</v>
      </c>
      <c r="U33" s="4">
        <f t="shared" ref="U33:U44" si="129">IF(RIGHT(B33,1)="*",2,0)</f>
        <v>0</v>
      </c>
      <c r="V33" s="4">
        <f t="shared" ref="V33:V44" si="130">LEN(A33)</f>
        <v>67</v>
      </c>
      <c r="W33" s="4">
        <f t="shared" ref="W33:W44" si="131">LEN(B33)</f>
        <v>61</v>
      </c>
      <c r="X33" s="4">
        <f t="shared" ref="X33:X44" si="132">(V33-U33)-W33</f>
        <v>6</v>
      </c>
      <c r="Z33" s="4" t="str">
        <f>IFERROR(INDEX('8a. Rename'!$C:$C,MATCH($M33,'8a. Rename'!$A:$A,0)),$M33)</f>
        <v>Unexpired_Convictions</v>
      </c>
      <c r="AA33" s="4" t="str">
        <f t="shared" ref="AA33:AA44" si="133">IF(AB33="Fine",IF(N33="=","=",IF(N33="&lt;","&lt;",IF(N33="&lt;=","&lt;=",IF(N33="&gt;","&gt;",IF(N33="&gt;=","&gt;=")))))&amp;" "&amp;O33,$AB33)</f>
        <v>FALSE</v>
      </c>
      <c r="AB33" t="str">
        <f>IF(INDEX('8a. Rename'!$B:$B,MATCH($Z33,'8a. Rename'!$C:$C,0))="HotKey",IF(OR(N33="&lt;",N33="&lt;="),"FALSE","TRUE"),"Fine")</f>
        <v>FALSE</v>
      </c>
    </row>
    <row r="34" spans="1:28" x14ac:dyDescent="0.3">
      <c r="A34" t="s">
        <v>1835</v>
      </c>
      <c r="B34" s="4" t="str">
        <f t="shared" si="115"/>
        <v xml:space="preserve">28) PurchaseYear&gt;=2015.5 2177  43070.76000 0.59472790  </v>
      </c>
      <c r="C34" s="4">
        <f t="shared" si="1"/>
        <v>3</v>
      </c>
      <c r="D34" s="4">
        <f t="shared" si="9"/>
        <v>17</v>
      </c>
      <c r="E34" s="4">
        <f t="shared" si="116"/>
        <v>18</v>
      </c>
      <c r="F34" s="7">
        <f t="shared" si="117"/>
        <v>25</v>
      </c>
      <c r="G34" s="7">
        <f t="shared" si="118"/>
        <v>31</v>
      </c>
      <c r="H34" s="7">
        <f t="shared" si="119"/>
        <v>43</v>
      </c>
      <c r="I34" s="7">
        <f t="shared" si="120"/>
        <v>55</v>
      </c>
      <c r="J34" s="4">
        <f t="shared" si="4"/>
        <v>0</v>
      </c>
      <c r="L34" s="4">
        <f t="shared" si="121"/>
        <v>28</v>
      </c>
      <c r="M34" s="4" t="str">
        <f t="shared" si="122"/>
        <v>PurchaseYear</v>
      </c>
      <c r="N34" s="4" t="str">
        <f t="shared" si="123"/>
        <v>&gt;=</v>
      </c>
      <c r="O34" s="20" t="str">
        <f t="shared" si="124"/>
        <v xml:space="preserve">2015.5 </v>
      </c>
      <c r="P34" s="19" t="str">
        <f t="shared" si="125"/>
        <v>&lt;</v>
      </c>
      <c r="Q34" s="21" t="str">
        <f t="shared" si="126"/>
        <v xml:space="preserve">2177 </v>
      </c>
      <c r="R34" s="21" t="str">
        <f t="shared" si="127"/>
        <v>43070.76000</v>
      </c>
      <c r="S34" s="21">
        <f t="shared" si="128"/>
        <v>0.59</v>
      </c>
      <c r="U34" s="4">
        <f t="shared" si="129"/>
        <v>0</v>
      </c>
      <c r="V34" s="4">
        <f t="shared" si="130"/>
        <v>63</v>
      </c>
      <c r="W34" s="4">
        <f t="shared" si="131"/>
        <v>55</v>
      </c>
      <c r="X34" s="4">
        <f t="shared" si="132"/>
        <v>8</v>
      </c>
      <c r="Z34" s="4" t="str">
        <f>IFERROR(INDEX('8a. Rename'!$C:$C,MATCH($M34,'8a. Rename'!$A:$A,0)),$M34)</f>
        <v>PurchaseYear</v>
      </c>
      <c r="AA34" s="4" t="str">
        <f t="shared" si="133"/>
        <v xml:space="preserve">&gt;= 2015.5 </v>
      </c>
      <c r="AB34" t="str">
        <f>IF(INDEX('8a. Rename'!$B:$B,MATCH($Z34,'8a. Rename'!$C:$C,0))="HotKey",IF(OR(N34="&lt;",N34="&lt;="),"FALSE","TRUE"),"Fine")</f>
        <v>Fine</v>
      </c>
    </row>
    <row r="35" spans="1:28" x14ac:dyDescent="0.3">
      <c r="A35" t="s">
        <v>1836</v>
      </c>
      <c r="B35" s="4" t="str">
        <f t="shared" si="115"/>
        <v>56) Prop_Licence_Years&gt;=11.5 2092  35483.35000 0.53880610 *</v>
      </c>
      <c r="C35" s="4">
        <f t="shared" si="1"/>
        <v>3</v>
      </c>
      <c r="D35" s="4">
        <f t="shared" si="9"/>
        <v>23</v>
      </c>
      <c r="E35" s="4">
        <f t="shared" si="116"/>
        <v>24</v>
      </c>
      <c r="F35" s="7">
        <f t="shared" si="117"/>
        <v>29</v>
      </c>
      <c r="G35" s="7">
        <f t="shared" si="118"/>
        <v>35</v>
      </c>
      <c r="H35" s="7">
        <f t="shared" si="119"/>
        <v>47</v>
      </c>
      <c r="I35" s="7">
        <f t="shared" si="120"/>
        <v>59</v>
      </c>
      <c r="J35" s="4">
        <f t="shared" si="4"/>
        <v>1</v>
      </c>
      <c r="L35" s="4">
        <f t="shared" si="121"/>
        <v>56</v>
      </c>
      <c r="M35" s="4" t="str">
        <f t="shared" si="122"/>
        <v>Prop_Licence_Years</v>
      </c>
      <c r="N35" s="4" t="str">
        <f t="shared" si="123"/>
        <v>&gt;=</v>
      </c>
      <c r="O35" s="20" t="str">
        <f t="shared" si="124"/>
        <v xml:space="preserve">11.5 </v>
      </c>
      <c r="P35" s="19" t="str">
        <f t="shared" si="125"/>
        <v>&lt;</v>
      </c>
      <c r="Q35" s="21" t="str">
        <f t="shared" si="126"/>
        <v xml:space="preserve">2092 </v>
      </c>
      <c r="R35" s="21" t="str">
        <f t="shared" si="127"/>
        <v>35483.35000</v>
      </c>
      <c r="S35" s="21">
        <f t="shared" si="128"/>
        <v>0.54</v>
      </c>
      <c r="U35" s="4">
        <f t="shared" si="129"/>
        <v>2</v>
      </c>
      <c r="V35" s="4">
        <f t="shared" si="130"/>
        <v>69</v>
      </c>
      <c r="W35" s="4">
        <f t="shared" si="131"/>
        <v>59</v>
      </c>
      <c r="X35" s="4">
        <f t="shared" si="132"/>
        <v>8</v>
      </c>
      <c r="Z35" s="4" t="str">
        <f>IFERROR(INDEX('8a. Rename'!$C:$C,MATCH($M35,'8a. Rename'!$A:$A,0)),$M35)</f>
        <v>Prop_Licence_Years</v>
      </c>
      <c r="AA35" s="4" t="str">
        <f t="shared" si="133"/>
        <v xml:space="preserve">&gt;= 11.5 </v>
      </c>
      <c r="AB35" t="str">
        <f>IF(INDEX('8a. Rename'!$B:$B,MATCH($Z35,'8a. Rename'!$C:$C,0))="HotKey",IF(OR(N35="&lt;",N35="&lt;="),"FALSE","TRUE"),"Fine")</f>
        <v>Fine</v>
      </c>
    </row>
    <row r="36" spans="1:28" x14ac:dyDescent="0.3">
      <c r="A36" t="s">
        <v>1837</v>
      </c>
      <c r="B36" s="4" t="str">
        <f t="shared" si="115"/>
        <v>57) Prop_Licence_Years&lt; 11.5 85   7419.85000 1.97106100 *</v>
      </c>
      <c r="C36" s="4">
        <f t="shared" si="1"/>
        <v>3</v>
      </c>
      <c r="D36" s="4">
        <f t="shared" si="9"/>
        <v>23</v>
      </c>
      <c r="E36" s="4">
        <f t="shared" si="116"/>
        <v>23</v>
      </c>
      <c r="F36" s="7">
        <f t="shared" si="117"/>
        <v>32</v>
      </c>
      <c r="G36" s="7">
        <f t="shared" si="118"/>
        <v>34</v>
      </c>
      <c r="H36" s="7">
        <f t="shared" si="119"/>
        <v>45</v>
      </c>
      <c r="I36" s="7">
        <f t="shared" si="120"/>
        <v>57</v>
      </c>
      <c r="J36" s="4">
        <f t="shared" si="4"/>
        <v>1</v>
      </c>
      <c r="L36" s="4">
        <f t="shared" si="121"/>
        <v>57</v>
      </c>
      <c r="M36" s="4" t="str">
        <f t="shared" si="122"/>
        <v>Prop_Licence_Years</v>
      </c>
      <c r="N36" s="4" t="str">
        <f t="shared" si="123"/>
        <v>&lt;</v>
      </c>
      <c r="O36" s="20" t="str">
        <f t="shared" si="124"/>
        <v xml:space="preserve"> 11.5 85 </v>
      </c>
      <c r="P36" s="19" t="str">
        <f t="shared" si="125"/>
        <v>&gt;=</v>
      </c>
      <c r="Q36" s="21" t="str">
        <f t="shared" si="126"/>
        <v xml:space="preserve"> </v>
      </c>
      <c r="R36" s="21" t="str">
        <f t="shared" si="127"/>
        <v>7419.85000</v>
      </c>
      <c r="S36" s="21">
        <f t="shared" si="128"/>
        <v>1.97</v>
      </c>
      <c r="U36" s="4">
        <f t="shared" si="129"/>
        <v>2</v>
      </c>
      <c r="V36" s="4">
        <f t="shared" si="130"/>
        <v>67</v>
      </c>
      <c r="W36" s="4">
        <f t="shared" si="131"/>
        <v>57</v>
      </c>
      <c r="X36" s="4">
        <f t="shared" si="132"/>
        <v>8</v>
      </c>
      <c r="Z36" s="4" t="str">
        <f>IFERROR(INDEX('8a. Rename'!$C:$C,MATCH($M36,'8a. Rename'!$A:$A,0)),$M36)</f>
        <v>Prop_Licence_Years</v>
      </c>
      <c r="AA36" s="4" t="str">
        <f t="shared" si="133"/>
        <v xml:space="preserve">&lt;  11.5 85 </v>
      </c>
      <c r="AB36" t="str">
        <f>IF(INDEX('8a. Rename'!$B:$B,MATCH($Z36,'8a. Rename'!$C:$C,0))="HotKey",IF(OR(N36="&lt;",N36="&lt;="),"FALSE","TRUE"),"Fine")</f>
        <v>Fine</v>
      </c>
    </row>
    <row r="37" spans="1:28" x14ac:dyDescent="0.3">
      <c r="A37" t="s">
        <v>1838</v>
      </c>
      <c r="B37" s="4" t="str">
        <f t="shared" si="115"/>
        <v xml:space="preserve">29) PurchaseYear&lt; 2015.5 168  28787.27000 1.83470400  </v>
      </c>
      <c r="C37" s="4">
        <f t="shared" si="1"/>
        <v>3</v>
      </c>
      <c r="D37" s="4">
        <f t="shared" si="9"/>
        <v>17</v>
      </c>
      <c r="E37" s="4">
        <f t="shared" si="116"/>
        <v>17</v>
      </c>
      <c r="F37" s="7">
        <f t="shared" si="117"/>
        <v>25</v>
      </c>
      <c r="G37" s="7">
        <f t="shared" si="118"/>
        <v>30</v>
      </c>
      <c r="H37" s="7">
        <f t="shared" si="119"/>
        <v>42</v>
      </c>
      <c r="I37" s="7">
        <f t="shared" si="120"/>
        <v>54</v>
      </c>
      <c r="J37" s="4">
        <f t="shared" si="4"/>
        <v>0</v>
      </c>
      <c r="L37" s="4">
        <f t="shared" si="121"/>
        <v>29</v>
      </c>
      <c r="M37" s="4" t="str">
        <f t="shared" si="122"/>
        <v>PurchaseYear</v>
      </c>
      <c r="N37" s="4" t="str">
        <f t="shared" si="123"/>
        <v>&lt;</v>
      </c>
      <c r="O37" s="20" t="str">
        <f t="shared" si="124"/>
        <v xml:space="preserve"> 2015.5 </v>
      </c>
      <c r="P37" s="19" t="str">
        <f t="shared" si="125"/>
        <v>&gt;=</v>
      </c>
      <c r="Q37" s="21" t="str">
        <f t="shared" si="126"/>
        <v xml:space="preserve">168 </v>
      </c>
      <c r="R37" s="21" t="str">
        <f t="shared" si="127"/>
        <v>28787.27000</v>
      </c>
      <c r="S37" s="21">
        <f t="shared" si="128"/>
        <v>1.83</v>
      </c>
      <c r="U37" s="4">
        <f t="shared" si="129"/>
        <v>0</v>
      </c>
      <c r="V37" s="4">
        <f t="shared" si="130"/>
        <v>62</v>
      </c>
      <c r="W37" s="4">
        <f t="shared" si="131"/>
        <v>54</v>
      </c>
      <c r="X37" s="4">
        <f t="shared" si="132"/>
        <v>8</v>
      </c>
      <c r="Z37" s="4" t="str">
        <f>IFERROR(INDEX('8a. Rename'!$C:$C,MATCH($M37,'8a. Rename'!$A:$A,0)),$M37)</f>
        <v>PurchaseYear</v>
      </c>
      <c r="AA37" s="4" t="str">
        <f t="shared" si="133"/>
        <v xml:space="preserve">&lt;  2015.5 </v>
      </c>
      <c r="AB37" t="str">
        <f>IF(INDEX('8a. Rename'!$B:$B,MATCH($Z37,'8a. Rename'!$C:$C,0))="HotKey",IF(OR(N37="&lt;",N37="&lt;="),"FALSE","TRUE"),"Fine")</f>
        <v>Fine</v>
      </c>
    </row>
    <row r="38" spans="1:28" x14ac:dyDescent="0.3">
      <c r="A38" t="s">
        <v>1839</v>
      </c>
      <c r="B38" s="4" t="str">
        <f t="shared" si="115"/>
        <v>58) Public_liability_in_force_Y&gt;=0.5 76     18.43329 0.08695352 *</v>
      </c>
      <c r="C38" s="4">
        <f t="shared" si="1"/>
        <v>3</v>
      </c>
      <c r="D38" s="4">
        <f t="shared" si="9"/>
        <v>32</v>
      </c>
      <c r="E38" s="4">
        <f t="shared" si="116"/>
        <v>33</v>
      </c>
      <c r="F38" s="7">
        <f t="shared" si="117"/>
        <v>42</v>
      </c>
      <c r="G38" s="7">
        <f t="shared" si="118"/>
        <v>44</v>
      </c>
      <c r="H38" s="7">
        <f t="shared" si="119"/>
        <v>53</v>
      </c>
      <c r="I38" s="7">
        <f t="shared" si="120"/>
        <v>65</v>
      </c>
      <c r="J38" s="4">
        <f t="shared" si="4"/>
        <v>1</v>
      </c>
      <c r="L38" s="4">
        <f t="shared" si="121"/>
        <v>58</v>
      </c>
      <c r="M38" s="4" t="str">
        <f t="shared" si="122"/>
        <v>Public_liability_in_force_Y</v>
      </c>
      <c r="N38" s="4" t="str">
        <f t="shared" si="123"/>
        <v>&gt;=</v>
      </c>
      <c r="O38" s="20" t="str">
        <f t="shared" si="124"/>
        <v xml:space="preserve">0.5 76   </v>
      </c>
      <c r="P38" s="19" t="str">
        <f t="shared" si="125"/>
        <v>&lt;</v>
      </c>
      <c r="Q38" s="21" t="str">
        <f t="shared" si="126"/>
        <v xml:space="preserve"> </v>
      </c>
      <c r="R38" s="21" t="str">
        <f t="shared" si="127"/>
        <v>18.43329</v>
      </c>
      <c r="S38" s="21">
        <f t="shared" si="128"/>
        <v>0.09</v>
      </c>
      <c r="U38" s="4">
        <f t="shared" si="129"/>
        <v>2</v>
      </c>
      <c r="V38" s="4">
        <f t="shared" si="130"/>
        <v>75</v>
      </c>
      <c r="W38" s="4">
        <f t="shared" si="131"/>
        <v>65</v>
      </c>
      <c r="X38" s="4">
        <f t="shared" si="132"/>
        <v>8</v>
      </c>
      <c r="Z38" s="4" t="str">
        <f>IFERROR(INDEX('8a. Rename'!$C:$C,MATCH($M38,'8a. Rename'!$A:$A,0)),$M38)</f>
        <v>Public_liability_in_force_Y</v>
      </c>
      <c r="AA38" s="4" t="str">
        <f t="shared" si="133"/>
        <v>TRUE</v>
      </c>
      <c r="AB38" t="str">
        <f>IF(INDEX('8a. Rename'!$B:$B,MATCH($Z38,'8a. Rename'!$C:$C,0))="HotKey",IF(OR(N38="&lt;",N38="&lt;="),"FALSE","TRUE"),"Fine")</f>
        <v>TRUE</v>
      </c>
    </row>
    <row r="39" spans="1:28" x14ac:dyDescent="0.3">
      <c r="A39" t="s">
        <v>1840</v>
      </c>
      <c r="B39" s="4" t="str">
        <f t="shared" si="115"/>
        <v>59) Public_liability_in_force_Y&lt; 0.5 92  28344.91000 3.27849800 *</v>
      </c>
      <c r="C39" s="4">
        <f t="shared" si="1"/>
        <v>3</v>
      </c>
      <c r="D39" s="4">
        <f t="shared" si="9"/>
        <v>32</v>
      </c>
      <c r="E39" s="4">
        <f t="shared" si="116"/>
        <v>32</v>
      </c>
      <c r="F39" s="7">
        <f t="shared" si="117"/>
        <v>37</v>
      </c>
      <c r="G39" s="7">
        <f t="shared" si="118"/>
        <v>41</v>
      </c>
      <c r="H39" s="7">
        <f t="shared" si="119"/>
        <v>53</v>
      </c>
      <c r="I39" s="7">
        <f t="shared" si="120"/>
        <v>65</v>
      </c>
      <c r="J39" s="4">
        <f t="shared" si="4"/>
        <v>1</v>
      </c>
      <c r="L39" s="4">
        <f t="shared" si="121"/>
        <v>59</v>
      </c>
      <c r="M39" s="4" t="str">
        <f t="shared" si="122"/>
        <v>Public_liability_in_force_Y</v>
      </c>
      <c r="N39" s="4" t="str">
        <f t="shared" si="123"/>
        <v>&lt;</v>
      </c>
      <c r="O39" s="20" t="str">
        <f t="shared" si="124"/>
        <v xml:space="preserve"> 0.5 </v>
      </c>
      <c r="P39" s="19" t="str">
        <f t="shared" si="125"/>
        <v>&gt;=</v>
      </c>
      <c r="Q39" s="21" t="str">
        <f t="shared" si="126"/>
        <v xml:space="preserve">92 </v>
      </c>
      <c r="R39" s="21" t="str">
        <f t="shared" si="127"/>
        <v>28344.91000</v>
      </c>
      <c r="S39" s="21">
        <f t="shared" si="128"/>
        <v>3.28</v>
      </c>
      <c r="U39" s="4">
        <f t="shared" si="129"/>
        <v>2</v>
      </c>
      <c r="V39" s="4">
        <f t="shared" si="130"/>
        <v>75</v>
      </c>
      <c r="W39" s="4">
        <f t="shared" si="131"/>
        <v>65</v>
      </c>
      <c r="X39" s="4">
        <f t="shared" si="132"/>
        <v>8</v>
      </c>
      <c r="Z39" s="4" t="str">
        <f>IFERROR(INDEX('8a. Rename'!$C:$C,MATCH($M39,'8a. Rename'!$A:$A,0)),$M39)</f>
        <v>Public_liability_in_force_Y</v>
      </c>
      <c r="AA39" s="4" t="str">
        <f t="shared" si="133"/>
        <v>FALSE</v>
      </c>
      <c r="AB39" t="str">
        <f>IF(INDEX('8a. Rename'!$B:$B,MATCH($Z39,'8a. Rename'!$C:$C,0))="HotKey",IF(OR(N39="&lt;",N39="&lt;="),"FALSE","TRUE"),"Fine")</f>
        <v>FALSE</v>
      </c>
    </row>
    <row r="40" spans="1:28" x14ac:dyDescent="0.3">
      <c r="A40" t="s">
        <v>1841</v>
      </c>
      <c r="B40" s="4" t="str">
        <f t="shared" si="115"/>
        <v xml:space="preserve">15) Unexpired_Convictions&gt;=0.5 555  82892.29000 1.64474200  </v>
      </c>
      <c r="C40" s="4">
        <f t="shared" si="1"/>
        <v>3</v>
      </c>
      <c r="D40" s="4">
        <f t="shared" si="9"/>
        <v>26</v>
      </c>
      <c r="E40" s="4">
        <f t="shared" si="116"/>
        <v>27</v>
      </c>
      <c r="F40" s="7">
        <f t="shared" si="117"/>
        <v>31</v>
      </c>
      <c r="G40" s="7">
        <f t="shared" si="118"/>
        <v>36</v>
      </c>
      <c r="H40" s="7">
        <f t="shared" si="119"/>
        <v>48</v>
      </c>
      <c r="I40" s="7">
        <f t="shared" si="120"/>
        <v>60</v>
      </c>
      <c r="J40" s="4">
        <f t="shared" si="4"/>
        <v>0</v>
      </c>
      <c r="L40" s="4">
        <f t="shared" si="121"/>
        <v>15</v>
      </c>
      <c r="M40" s="4" t="str">
        <f t="shared" si="122"/>
        <v>Unexpired_Convictions</v>
      </c>
      <c r="N40" s="4" t="str">
        <f t="shared" si="123"/>
        <v>&gt;=</v>
      </c>
      <c r="O40" s="20" t="str">
        <f t="shared" si="124"/>
        <v xml:space="preserve">0.5 </v>
      </c>
      <c r="P40" s="19" t="str">
        <f t="shared" si="125"/>
        <v>&lt;</v>
      </c>
      <c r="Q40" s="21" t="str">
        <f t="shared" si="126"/>
        <v xml:space="preserve">555 </v>
      </c>
      <c r="R40" s="21" t="str">
        <f t="shared" si="127"/>
        <v>82892.29000</v>
      </c>
      <c r="S40" s="21">
        <f t="shared" si="128"/>
        <v>1.64</v>
      </c>
      <c r="U40" s="4">
        <f t="shared" si="129"/>
        <v>0</v>
      </c>
      <c r="V40" s="4">
        <f t="shared" si="130"/>
        <v>66</v>
      </c>
      <c r="W40" s="4">
        <f t="shared" si="131"/>
        <v>60</v>
      </c>
      <c r="X40" s="4">
        <f t="shared" si="132"/>
        <v>6</v>
      </c>
      <c r="Z40" s="4" t="str">
        <f>IFERROR(INDEX('8a. Rename'!$C:$C,MATCH($M40,'8a. Rename'!$A:$A,0)),$M40)</f>
        <v>Unexpired_Convictions</v>
      </c>
      <c r="AA40" s="4" t="str">
        <f t="shared" si="133"/>
        <v>TRUE</v>
      </c>
      <c r="AB40" t="str">
        <f>IF(INDEX('8a. Rename'!$B:$B,MATCH($Z40,'8a. Rename'!$C:$C,0))="HotKey",IF(OR(N40="&lt;",N40="&lt;="),"FALSE","TRUE"),"Fine")</f>
        <v>TRUE</v>
      </c>
    </row>
    <row r="41" spans="1:28" x14ac:dyDescent="0.3">
      <c r="A41" t="s">
        <v>1842</v>
      </c>
      <c r="B41" s="4" t="str">
        <f t="shared" si="115"/>
        <v xml:space="preserve">30) GVW&lt; 3.28 455  16584.74000 0.76821450  </v>
      </c>
      <c r="C41" s="4">
        <f t="shared" si="1"/>
        <v>3</v>
      </c>
      <c r="D41" s="4">
        <f t="shared" si="9"/>
        <v>8</v>
      </c>
      <c r="E41" s="4">
        <f t="shared" si="116"/>
        <v>8</v>
      </c>
      <c r="F41" s="7">
        <f t="shared" si="117"/>
        <v>14</v>
      </c>
      <c r="G41" s="7">
        <f t="shared" si="118"/>
        <v>19</v>
      </c>
      <c r="H41" s="7">
        <f t="shared" si="119"/>
        <v>31</v>
      </c>
      <c r="I41" s="7">
        <f t="shared" si="120"/>
        <v>43</v>
      </c>
      <c r="J41" s="4">
        <f t="shared" si="4"/>
        <v>0</v>
      </c>
      <c r="L41" s="4">
        <f t="shared" si="121"/>
        <v>30</v>
      </c>
      <c r="M41" s="4" t="str">
        <f t="shared" si="122"/>
        <v>GVW</v>
      </c>
      <c r="N41" s="4" t="str">
        <f t="shared" si="123"/>
        <v>&lt;</v>
      </c>
      <c r="O41" s="20" t="str">
        <f t="shared" si="124"/>
        <v xml:space="preserve"> 3.28 </v>
      </c>
      <c r="P41" s="19" t="str">
        <f t="shared" si="125"/>
        <v>&gt;=</v>
      </c>
      <c r="Q41" s="21" t="str">
        <f t="shared" si="126"/>
        <v xml:space="preserve">455 </v>
      </c>
      <c r="R41" s="21" t="str">
        <f t="shared" si="127"/>
        <v>16584.74000</v>
      </c>
      <c r="S41" s="21">
        <f t="shared" si="128"/>
        <v>0.77</v>
      </c>
      <c r="U41" s="4">
        <f t="shared" si="129"/>
        <v>0</v>
      </c>
      <c r="V41" s="4">
        <f t="shared" si="130"/>
        <v>51</v>
      </c>
      <c r="W41" s="4">
        <f t="shared" si="131"/>
        <v>43</v>
      </c>
      <c r="X41" s="4">
        <f t="shared" si="132"/>
        <v>8</v>
      </c>
      <c r="Z41" s="4" t="str">
        <f>IFERROR(INDEX('8a. Rename'!$C:$C,MATCH($M41,'8a. Rename'!$A:$A,0)),$M41)</f>
        <v>GVW</v>
      </c>
      <c r="AA41" s="4" t="str">
        <f t="shared" si="133"/>
        <v xml:space="preserve">&lt;  3.28 </v>
      </c>
      <c r="AB41" t="str">
        <f>IF(INDEX('8a. Rename'!$B:$B,MATCH($Z41,'8a. Rename'!$C:$C,0))="HotKey",IF(OR(N41="&lt;",N41="&lt;="),"FALSE","TRUE"),"Fine")</f>
        <v>Fine</v>
      </c>
    </row>
    <row r="42" spans="1:28" x14ac:dyDescent="0.3">
      <c r="A42" t="s">
        <v>1843</v>
      </c>
      <c r="B42" s="4" t="str">
        <f t="shared" si="115"/>
        <v>60) PurchaseYear&lt; 2021.5 305   1450.35000 0.33993600 *</v>
      </c>
      <c r="C42" s="4">
        <f t="shared" si="1"/>
        <v>3</v>
      </c>
      <c r="D42" s="4">
        <f t="shared" si="9"/>
        <v>17</v>
      </c>
      <c r="E42" s="4">
        <f t="shared" si="116"/>
        <v>17</v>
      </c>
      <c r="F42" s="7">
        <f t="shared" si="117"/>
        <v>29</v>
      </c>
      <c r="G42" s="7">
        <f t="shared" si="118"/>
        <v>31</v>
      </c>
      <c r="H42" s="7">
        <f t="shared" si="119"/>
        <v>42</v>
      </c>
      <c r="I42" s="7">
        <f t="shared" si="120"/>
        <v>54</v>
      </c>
      <c r="J42" s="4">
        <f t="shared" si="4"/>
        <v>1</v>
      </c>
      <c r="L42" s="4">
        <f t="shared" si="121"/>
        <v>60</v>
      </c>
      <c r="M42" s="4" t="str">
        <f t="shared" si="122"/>
        <v>PurchaseYear</v>
      </c>
      <c r="N42" s="4" t="str">
        <f t="shared" si="123"/>
        <v>&lt;</v>
      </c>
      <c r="O42" s="20" t="str">
        <f t="shared" si="124"/>
        <v xml:space="preserve"> 2021.5 305 </v>
      </c>
      <c r="P42" s="19" t="str">
        <f t="shared" si="125"/>
        <v>&gt;=</v>
      </c>
      <c r="Q42" s="21" t="str">
        <f t="shared" si="126"/>
        <v xml:space="preserve"> </v>
      </c>
      <c r="R42" s="21" t="str">
        <f t="shared" si="127"/>
        <v>1450.35000</v>
      </c>
      <c r="S42" s="21">
        <f t="shared" si="128"/>
        <v>0.34</v>
      </c>
      <c r="U42" s="4">
        <f t="shared" si="129"/>
        <v>2</v>
      </c>
      <c r="V42" s="4">
        <f t="shared" si="130"/>
        <v>64</v>
      </c>
      <c r="W42" s="4">
        <f t="shared" si="131"/>
        <v>54</v>
      </c>
      <c r="X42" s="4">
        <f t="shared" si="132"/>
        <v>8</v>
      </c>
      <c r="Z42" s="4" t="str">
        <f>IFERROR(INDEX('8a. Rename'!$C:$C,MATCH($M42,'8a. Rename'!$A:$A,0)),$M42)</f>
        <v>PurchaseYear</v>
      </c>
      <c r="AA42" s="4" t="str">
        <f t="shared" si="133"/>
        <v xml:space="preserve">&lt;  2021.5 305 </v>
      </c>
      <c r="AB42" t="str">
        <f>IF(INDEX('8a. Rename'!$B:$B,MATCH($Z42,'8a. Rename'!$C:$C,0))="HotKey",IF(OR(N42="&lt;",N42="&lt;="),"FALSE","TRUE"),"Fine")</f>
        <v>Fine</v>
      </c>
    </row>
    <row r="43" spans="1:28" x14ac:dyDescent="0.3">
      <c r="A43" t="s">
        <v>1844</v>
      </c>
      <c r="B43" s="4" t="str">
        <f t="shared" si="115"/>
        <v>61) PurchaseYear&gt;=2021.5 150  14964.69000 1.63904700 *</v>
      </c>
      <c r="C43" s="4">
        <f t="shared" si="1"/>
        <v>3</v>
      </c>
      <c r="D43" s="4">
        <f t="shared" si="9"/>
        <v>17</v>
      </c>
      <c r="E43" s="4">
        <f t="shared" si="116"/>
        <v>18</v>
      </c>
      <c r="F43" s="7">
        <f t="shared" si="117"/>
        <v>25</v>
      </c>
      <c r="G43" s="7">
        <f t="shared" si="118"/>
        <v>30</v>
      </c>
      <c r="H43" s="7">
        <f t="shared" si="119"/>
        <v>42</v>
      </c>
      <c r="I43" s="7">
        <f t="shared" si="120"/>
        <v>54</v>
      </c>
      <c r="J43" s="4">
        <f t="shared" si="4"/>
        <v>1</v>
      </c>
      <c r="L43" s="4">
        <f t="shared" si="121"/>
        <v>61</v>
      </c>
      <c r="M43" s="4" t="str">
        <f t="shared" si="122"/>
        <v>PurchaseYear</v>
      </c>
      <c r="N43" s="4" t="str">
        <f t="shared" si="123"/>
        <v>&gt;=</v>
      </c>
      <c r="O43" s="20" t="str">
        <f t="shared" si="124"/>
        <v xml:space="preserve">2021.5 </v>
      </c>
      <c r="P43" s="19" t="str">
        <f t="shared" si="125"/>
        <v>&lt;</v>
      </c>
      <c r="Q43" s="21" t="str">
        <f t="shared" si="126"/>
        <v xml:space="preserve">150 </v>
      </c>
      <c r="R43" s="21" t="str">
        <f t="shared" si="127"/>
        <v>14964.69000</v>
      </c>
      <c r="S43" s="21">
        <f t="shared" si="128"/>
        <v>1.64</v>
      </c>
      <c r="U43" s="4">
        <f t="shared" si="129"/>
        <v>2</v>
      </c>
      <c r="V43" s="4">
        <f t="shared" si="130"/>
        <v>64</v>
      </c>
      <c r="W43" s="4">
        <f t="shared" si="131"/>
        <v>54</v>
      </c>
      <c r="X43" s="4">
        <f t="shared" si="132"/>
        <v>8</v>
      </c>
      <c r="Z43" s="4" t="str">
        <f>IFERROR(INDEX('8a. Rename'!$C:$C,MATCH($M43,'8a. Rename'!$A:$A,0)),$M43)</f>
        <v>PurchaseYear</v>
      </c>
      <c r="AA43" s="4" t="str">
        <f t="shared" si="133"/>
        <v xml:space="preserve">&gt;= 2021.5 </v>
      </c>
      <c r="AB43" t="str">
        <f>IF(INDEX('8a. Rename'!$B:$B,MATCH($Z43,'8a. Rename'!$C:$C,0))="HotKey",IF(OR(N43="&lt;",N43="&lt;="),"FALSE","TRUE"),"Fine")</f>
        <v>Fine</v>
      </c>
    </row>
    <row r="44" spans="1:28" x14ac:dyDescent="0.3">
      <c r="A44" t="s">
        <v>1845</v>
      </c>
      <c r="B44" s="4" t="str">
        <f t="shared" si="115"/>
        <v>31) GVW&gt;=3.28 100  64367.40000 5.63294200 *</v>
      </c>
      <c r="C44" s="4">
        <f t="shared" si="1"/>
        <v>3</v>
      </c>
      <c r="D44" s="4">
        <f t="shared" si="9"/>
        <v>8</v>
      </c>
      <c r="E44" s="4">
        <f t="shared" si="116"/>
        <v>9</v>
      </c>
      <c r="F44" s="7">
        <f t="shared" si="117"/>
        <v>14</v>
      </c>
      <c r="G44" s="7">
        <f t="shared" si="118"/>
        <v>19</v>
      </c>
      <c r="H44" s="7">
        <f t="shared" si="119"/>
        <v>31</v>
      </c>
      <c r="I44" s="7">
        <f t="shared" si="120"/>
        <v>43</v>
      </c>
      <c r="J44" s="4">
        <f t="shared" si="4"/>
        <v>1</v>
      </c>
      <c r="L44" s="4">
        <f t="shared" si="121"/>
        <v>31</v>
      </c>
      <c r="M44" s="4" t="str">
        <f t="shared" si="122"/>
        <v>GVW</v>
      </c>
      <c r="N44" s="4" t="str">
        <f t="shared" si="123"/>
        <v>&gt;=</v>
      </c>
      <c r="O44" s="20" t="str">
        <f t="shared" si="124"/>
        <v xml:space="preserve">3.28 </v>
      </c>
      <c r="P44" s="19" t="str">
        <f t="shared" si="125"/>
        <v>&lt;</v>
      </c>
      <c r="Q44" s="21" t="str">
        <f t="shared" si="126"/>
        <v xml:space="preserve">100 </v>
      </c>
      <c r="R44" s="21" t="str">
        <f t="shared" si="127"/>
        <v>64367.40000</v>
      </c>
      <c r="S44" s="21">
        <f t="shared" si="128"/>
        <v>5.63</v>
      </c>
      <c r="U44" s="4">
        <f t="shared" si="129"/>
        <v>2</v>
      </c>
      <c r="V44" s="4">
        <f t="shared" si="130"/>
        <v>51</v>
      </c>
      <c r="W44" s="4">
        <f t="shared" si="131"/>
        <v>43</v>
      </c>
      <c r="X44" s="4">
        <f t="shared" si="132"/>
        <v>6</v>
      </c>
      <c r="Z44" s="4" t="str">
        <f>IFERROR(INDEX('8a. Rename'!$C:$C,MATCH($M44,'8a. Rename'!$A:$A,0)),$M44)</f>
        <v>GVW</v>
      </c>
      <c r="AA44" s="4" t="str">
        <f t="shared" si="133"/>
        <v xml:space="preserve">&gt;= 3.28 </v>
      </c>
      <c r="AB44" t="str">
        <f>IF(INDEX('8a. Rename'!$B:$B,MATCH($Z44,'8a. Rename'!$C:$C,0))="HotKey",IF(OR(N44="&lt;",N44="&lt;="),"FALSE","TRUE"),"Fine")</f>
        <v>Fine</v>
      </c>
    </row>
  </sheetData>
  <pageMargins left="0.7" right="0.7" top="0.75" bottom="0.75" header="0.3" footer="0.3"/>
  <headerFooter>
    <oddFooter>&amp;L_x000D_&amp;1#&amp;"Calibri"&amp;11&amp;K000000 Non-Confidential - Anyone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513F-655B-4840-BCF7-C6F58B5EE5BD}">
  <sheetPr codeName="Sheet17">
    <tabColor theme="4" tint="0.59999389629810485"/>
  </sheetPr>
  <dimension ref="A1:DZ24"/>
  <sheetViews>
    <sheetView tabSelected="1" zoomScale="70" zoomScaleNormal="70" workbookViewId="0">
      <selection activeCell="AG31" sqref="AG31"/>
    </sheetView>
  </sheetViews>
  <sheetFormatPr defaultColWidth="9.109375" defaultRowHeight="14.4" x14ac:dyDescent="0.3"/>
  <cols>
    <col min="1" max="1" width="9.109375" style="30"/>
    <col min="5" max="5" width="0.6640625" customWidth="1"/>
    <col min="7" max="7" width="0.6640625" customWidth="1"/>
    <col min="9" max="9" width="0.6640625" customWidth="1"/>
    <col min="17" max="19" width="0.6640625" customWidth="1"/>
    <col min="21" max="21" width="0.6640625" customWidth="1"/>
    <col min="23" max="23" width="0.6640625" customWidth="1"/>
    <col min="25" max="25" width="0.6640625" customWidth="1"/>
    <col min="27" max="27" width="0.6640625" customWidth="1"/>
    <col min="29" max="31" width="0.6640625" customWidth="1"/>
    <col min="41" max="41" width="0.6640625" customWidth="1"/>
    <col min="47" max="47" width="0.6640625" customWidth="1"/>
  </cols>
  <sheetData>
    <row r="1" spans="1:130" s="34" customFormat="1" x14ac:dyDescent="0.3">
      <c r="A1" s="34">
        <v>1</v>
      </c>
      <c r="B1" s="34">
        <v>2</v>
      </c>
      <c r="C1" s="34">
        <v>3</v>
      </c>
      <c r="D1" s="34">
        <v>4</v>
      </c>
      <c r="E1" s="34">
        <v>5</v>
      </c>
      <c r="F1" s="34">
        <v>6</v>
      </c>
      <c r="G1" s="34">
        <v>7</v>
      </c>
      <c r="H1" s="34">
        <v>8</v>
      </c>
      <c r="I1" s="34">
        <v>9</v>
      </c>
      <c r="J1" s="34">
        <v>10</v>
      </c>
      <c r="K1" s="34">
        <v>11</v>
      </c>
      <c r="L1" s="34">
        <v>12</v>
      </c>
      <c r="M1" s="34">
        <v>13</v>
      </c>
      <c r="N1" s="34">
        <v>14</v>
      </c>
      <c r="O1" s="34">
        <v>15</v>
      </c>
      <c r="P1" s="34">
        <v>16</v>
      </c>
      <c r="Q1" s="34">
        <v>17</v>
      </c>
      <c r="R1" s="34">
        <v>18</v>
      </c>
      <c r="S1" s="34">
        <v>19</v>
      </c>
      <c r="T1" s="34">
        <v>20</v>
      </c>
      <c r="U1" s="34">
        <v>21</v>
      </c>
      <c r="V1" s="34">
        <v>22</v>
      </c>
      <c r="W1" s="34">
        <v>23</v>
      </c>
      <c r="X1" s="34">
        <v>24</v>
      </c>
      <c r="Y1" s="34">
        <v>25</v>
      </c>
      <c r="Z1" s="34">
        <v>26</v>
      </c>
      <c r="AA1" s="34">
        <v>27</v>
      </c>
      <c r="AB1" s="34">
        <v>28</v>
      </c>
      <c r="AC1" s="34">
        <v>29</v>
      </c>
      <c r="AD1" s="34">
        <v>30</v>
      </c>
      <c r="AE1" s="34">
        <v>31</v>
      </c>
      <c r="AF1" s="34">
        <v>32</v>
      </c>
      <c r="AG1" s="34">
        <v>33</v>
      </c>
      <c r="AH1" s="34">
        <v>34</v>
      </c>
      <c r="AI1" s="34">
        <v>35</v>
      </c>
      <c r="AJ1" s="34">
        <v>36</v>
      </c>
      <c r="AK1" s="34">
        <v>37</v>
      </c>
      <c r="AL1" s="34">
        <v>38</v>
      </c>
      <c r="AM1" s="34">
        <v>39</v>
      </c>
      <c r="AN1" s="34">
        <v>40</v>
      </c>
      <c r="AO1" s="34">
        <v>41</v>
      </c>
      <c r="AP1" s="34">
        <v>42</v>
      </c>
      <c r="AQ1" s="34">
        <v>43</v>
      </c>
      <c r="AR1" s="34">
        <v>44</v>
      </c>
      <c r="AS1" s="34">
        <v>45</v>
      </c>
      <c r="AT1" s="34">
        <v>46</v>
      </c>
      <c r="AU1" s="34">
        <v>47</v>
      </c>
      <c r="AV1" s="34">
        <v>48</v>
      </c>
      <c r="AW1" s="34">
        <v>49</v>
      </c>
      <c r="AX1" s="34">
        <v>50</v>
      </c>
      <c r="AY1" s="34">
        <v>51</v>
      </c>
      <c r="AZ1" s="34">
        <v>52</v>
      </c>
      <c r="BA1" s="34">
        <v>53</v>
      </c>
      <c r="BB1" s="34">
        <v>54</v>
      </c>
      <c r="BC1" s="34">
        <v>55</v>
      </c>
      <c r="BD1" s="34">
        <v>56</v>
      </c>
      <c r="BE1" s="34">
        <v>57</v>
      </c>
      <c r="BF1" s="34">
        <v>58</v>
      </c>
      <c r="BG1" s="34">
        <v>59</v>
      </c>
      <c r="BH1" s="34">
        <v>60</v>
      </c>
      <c r="BI1" s="34">
        <v>61</v>
      </c>
      <c r="BJ1" s="34">
        <v>62</v>
      </c>
      <c r="BK1" s="34">
        <v>63</v>
      </c>
      <c r="BL1" s="34">
        <v>64</v>
      </c>
      <c r="BM1" s="34">
        <v>65</v>
      </c>
      <c r="BN1" s="34">
        <v>66</v>
      </c>
      <c r="BO1" s="34">
        <v>67</v>
      </c>
      <c r="BP1" s="34">
        <v>68</v>
      </c>
      <c r="BQ1" s="34">
        <v>69</v>
      </c>
      <c r="BR1" s="34">
        <v>70</v>
      </c>
      <c r="BS1" s="34">
        <v>71</v>
      </c>
      <c r="BT1" s="34">
        <v>72</v>
      </c>
      <c r="BU1" s="34">
        <v>73</v>
      </c>
      <c r="BV1" s="34">
        <v>74</v>
      </c>
      <c r="BW1" s="34">
        <v>75</v>
      </c>
      <c r="BX1" s="34">
        <v>76</v>
      </c>
      <c r="BY1" s="34">
        <v>77</v>
      </c>
      <c r="BZ1" s="34">
        <v>78</v>
      </c>
      <c r="CA1" s="34">
        <v>79</v>
      </c>
      <c r="CB1" s="34">
        <v>80</v>
      </c>
      <c r="CC1" s="34">
        <v>81</v>
      </c>
      <c r="CD1" s="34">
        <v>82</v>
      </c>
      <c r="CE1" s="34">
        <v>83</v>
      </c>
      <c r="CF1" s="34">
        <v>84</v>
      </c>
      <c r="CG1" s="34">
        <v>85</v>
      </c>
      <c r="CH1" s="34">
        <v>86</v>
      </c>
      <c r="CI1" s="34">
        <v>87</v>
      </c>
      <c r="CJ1" s="34">
        <v>88</v>
      </c>
      <c r="CK1" s="34">
        <v>89</v>
      </c>
      <c r="CL1" s="34">
        <v>90</v>
      </c>
      <c r="CM1" s="34">
        <v>91</v>
      </c>
      <c r="CN1" s="34">
        <v>92</v>
      </c>
      <c r="CO1" s="34">
        <v>93</v>
      </c>
      <c r="CP1" s="34">
        <v>94</v>
      </c>
      <c r="CQ1" s="34">
        <v>95</v>
      </c>
      <c r="CR1" s="34">
        <v>96</v>
      </c>
      <c r="CS1" s="34">
        <v>97</v>
      </c>
      <c r="CT1" s="34">
        <v>98</v>
      </c>
      <c r="CU1" s="34">
        <v>99</v>
      </c>
      <c r="CV1" s="34">
        <v>100</v>
      </c>
      <c r="CW1" s="34">
        <v>101</v>
      </c>
      <c r="CX1" s="34">
        <v>102</v>
      </c>
      <c r="CY1" s="34">
        <v>103</v>
      </c>
      <c r="CZ1" s="34">
        <v>104</v>
      </c>
      <c r="DA1" s="34">
        <v>105</v>
      </c>
      <c r="DB1" s="34">
        <v>106</v>
      </c>
      <c r="DC1" s="34">
        <v>107</v>
      </c>
      <c r="DD1" s="34">
        <v>108</v>
      </c>
      <c r="DE1" s="34">
        <v>109</v>
      </c>
      <c r="DF1" s="34">
        <v>110</v>
      </c>
      <c r="DG1" s="34">
        <v>111</v>
      </c>
      <c r="DH1" s="34">
        <v>112</v>
      </c>
      <c r="DI1" s="34">
        <v>113</v>
      </c>
      <c r="DJ1" s="34">
        <v>114</v>
      </c>
      <c r="DK1" s="34">
        <v>115</v>
      </c>
      <c r="DL1" s="34">
        <v>116</v>
      </c>
      <c r="DM1" s="34">
        <v>117</v>
      </c>
      <c r="DN1" s="34">
        <v>118</v>
      </c>
      <c r="DO1" s="34">
        <v>119</v>
      </c>
      <c r="DP1" s="34">
        <v>120</v>
      </c>
      <c r="DQ1" s="34">
        <v>121</v>
      </c>
      <c r="DR1" s="34">
        <v>122</v>
      </c>
      <c r="DS1" s="34">
        <v>123</v>
      </c>
      <c r="DT1" s="34">
        <v>124</v>
      </c>
      <c r="DU1" s="34">
        <v>125</v>
      </c>
      <c r="DV1" s="34">
        <v>126</v>
      </c>
      <c r="DW1" s="34">
        <v>127</v>
      </c>
      <c r="DX1" s="34">
        <v>128</v>
      </c>
      <c r="DY1" s="34">
        <v>129</v>
      </c>
      <c r="DZ1" s="34">
        <v>130</v>
      </c>
    </row>
    <row r="2" spans="1:130" s="31" customFormat="1" x14ac:dyDescent="0.3"/>
    <row r="3" spans="1:130" s="31" customFormat="1" x14ac:dyDescent="0.3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>
        <v>0.5</v>
      </c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</row>
    <row r="4" spans="1:130" s="31" customFormat="1" x14ac:dyDescent="0.3">
      <c r="AF4" s="31">
        <v>19394</v>
      </c>
    </row>
    <row r="5" spans="1:130" s="31" customFormat="1" x14ac:dyDescent="0.3"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3"/>
      <c r="Q5" s="33"/>
      <c r="R5" s="33"/>
      <c r="S5" s="33"/>
      <c r="T5" s="33"/>
      <c r="U5" s="33"/>
      <c r="V5" s="33"/>
      <c r="W5" s="33"/>
      <c r="X5" s="33" t="s">
        <v>1846</v>
      </c>
      <c r="Y5" s="33"/>
      <c r="Z5" s="33"/>
      <c r="AA5" s="33"/>
      <c r="AB5" s="33"/>
      <c r="AC5" s="33"/>
      <c r="AD5" s="33"/>
      <c r="AE5" s="33"/>
      <c r="AF5" s="33" t="s">
        <v>90</v>
      </c>
      <c r="AG5" s="33"/>
      <c r="AH5" s="33"/>
      <c r="AI5" s="33"/>
      <c r="AJ5" s="33"/>
      <c r="AK5" s="33"/>
      <c r="AL5" s="33"/>
      <c r="AM5" s="33"/>
      <c r="AN5" s="33" t="s">
        <v>1853</v>
      </c>
      <c r="AO5" s="33"/>
      <c r="AP5" s="33"/>
      <c r="AQ5" s="33"/>
      <c r="AR5" s="33"/>
      <c r="AS5" s="33"/>
      <c r="AT5" s="33"/>
      <c r="AU5" s="33"/>
      <c r="AV5" s="33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  <c r="CF5" s="32"/>
      <c r="CG5" s="32"/>
      <c r="CH5" s="32"/>
      <c r="CI5" s="32"/>
      <c r="CJ5" s="32"/>
      <c r="CK5" s="32"/>
      <c r="CL5" s="32"/>
      <c r="CM5" s="32"/>
      <c r="CN5" s="32"/>
      <c r="CO5" s="32"/>
      <c r="CP5" s="32"/>
      <c r="CQ5" s="32"/>
      <c r="CR5" s="32"/>
      <c r="CS5" s="32"/>
      <c r="CT5" s="32"/>
      <c r="CU5" s="32"/>
      <c r="CV5" s="32"/>
      <c r="CW5" s="32"/>
      <c r="CX5" s="32"/>
      <c r="CY5" s="32"/>
      <c r="CZ5" s="32"/>
      <c r="DA5" s="32"/>
      <c r="DB5" s="32"/>
      <c r="DC5" s="32"/>
      <c r="DD5" s="32"/>
      <c r="DE5" s="32"/>
      <c r="DF5" s="32"/>
      <c r="DG5" s="32"/>
      <c r="DH5" s="32"/>
      <c r="DI5" s="32"/>
      <c r="DJ5" s="32"/>
      <c r="DK5" s="32"/>
      <c r="DL5" s="32"/>
      <c r="DM5" s="32"/>
      <c r="DN5" s="32"/>
      <c r="DO5" s="32"/>
      <c r="DP5" s="32"/>
      <c r="DQ5" s="32"/>
      <c r="DR5" s="32"/>
      <c r="DS5" s="32"/>
      <c r="DT5" s="32"/>
      <c r="DU5" s="32"/>
      <c r="DV5" s="32"/>
      <c r="DW5" s="32"/>
      <c r="DX5" s="32"/>
    </row>
    <row r="6" spans="1:130" s="31" customFormat="1" x14ac:dyDescent="0.3"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>
        <v>0.3</v>
      </c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>
        <v>0.61</v>
      </c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</row>
    <row r="7" spans="1:130" s="31" customFormat="1" x14ac:dyDescent="0.3">
      <c r="P7" s="31">
        <v>7016</v>
      </c>
      <c r="AV7" s="31">
        <v>12378</v>
      </c>
    </row>
    <row r="8" spans="1:130" s="31" customFormat="1" ht="43.2" x14ac:dyDescent="0.3">
      <c r="B8" s="32"/>
      <c r="C8" s="32"/>
      <c r="D8" s="32"/>
      <c r="E8" s="32"/>
      <c r="F8" s="32"/>
      <c r="G8" s="32"/>
      <c r="H8" s="33"/>
      <c r="I8" s="33"/>
      <c r="J8" s="33"/>
      <c r="K8" s="33"/>
      <c r="L8" s="33" t="s">
        <v>1847</v>
      </c>
      <c r="M8" s="33"/>
      <c r="N8" s="33"/>
      <c r="O8" s="33"/>
      <c r="P8" s="33" t="s">
        <v>612</v>
      </c>
      <c r="Q8" s="33"/>
      <c r="R8" s="33"/>
      <c r="S8" s="33"/>
      <c r="T8" s="33" t="s">
        <v>1850</v>
      </c>
      <c r="U8" s="33"/>
      <c r="V8" s="33"/>
      <c r="W8" s="33"/>
      <c r="X8" s="33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3"/>
      <c r="AO8" s="33"/>
      <c r="AP8" s="33"/>
      <c r="AQ8" s="33"/>
      <c r="AR8" s="33" t="s">
        <v>1854</v>
      </c>
      <c r="AS8" s="33"/>
      <c r="AT8" s="33"/>
      <c r="AU8" s="33"/>
      <c r="AV8" s="33" t="s">
        <v>187</v>
      </c>
      <c r="AW8" s="33"/>
      <c r="AX8" s="33"/>
      <c r="AY8" s="33"/>
      <c r="AZ8" s="33" t="s">
        <v>1859</v>
      </c>
      <c r="BA8" s="33"/>
      <c r="BB8" s="33"/>
      <c r="BC8" s="33"/>
      <c r="BD8" s="33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  <c r="CF8" s="32"/>
      <c r="CG8" s="32"/>
      <c r="CH8" s="32"/>
      <c r="CI8" s="32"/>
      <c r="CJ8" s="32"/>
      <c r="CK8" s="32"/>
      <c r="CL8" s="32"/>
      <c r="CM8" s="32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2"/>
      <c r="DW8" s="32"/>
      <c r="DX8" s="32"/>
    </row>
    <row r="9" spans="1:130" s="31" customFormat="1" x14ac:dyDescent="0.3">
      <c r="B9" s="39"/>
      <c r="C9" s="39"/>
      <c r="D9" s="39"/>
      <c r="E9" s="39"/>
      <c r="F9" s="39"/>
      <c r="G9" s="39"/>
      <c r="H9" s="39">
        <v>0.28000000000000003</v>
      </c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>
        <v>1.08</v>
      </c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>
        <v>0.53</v>
      </c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1">
        <v>0.87</v>
      </c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</row>
    <row r="10" spans="1:130" s="31" customFormat="1" x14ac:dyDescent="0.3">
      <c r="H10" s="31">
        <v>6836</v>
      </c>
      <c r="X10" s="40">
        <v>180</v>
      </c>
      <c r="AN10" s="40">
        <v>9478</v>
      </c>
      <c r="BD10" s="31">
        <v>2900</v>
      </c>
    </row>
    <row r="11" spans="1:130" s="31" customFormat="1" ht="57.6" x14ac:dyDescent="0.3">
      <c r="B11" s="32"/>
      <c r="C11" s="32"/>
      <c r="D11" s="33"/>
      <c r="E11" s="33"/>
      <c r="F11" s="33" t="b">
        <v>1</v>
      </c>
      <c r="G11" s="33"/>
      <c r="H11" s="33" t="s">
        <v>1092</v>
      </c>
      <c r="I11" s="33"/>
      <c r="J11" s="33" t="b">
        <v>0</v>
      </c>
      <c r="K11" s="33"/>
      <c r="L11" s="33"/>
      <c r="M11" s="32"/>
      <c r="N11" s="32"/>
      <c r="O11" s="32"/>
      <c r="P11" s="32"/>
      <c r="Q11" s="32"/>
      <c r="R11" s="32"/>
      <c r="S11" s="32"/>
      <c r="T11" s="33"/>
      <c r="U11" s="33"/>
      <c r="V11" s="33" t="s">
        <v>1851</v>
      </c>
      <c r="W11" s="33"/>
      <c r="X11" s="33" t="s">
        <v>334</v>
      </c>
      <c r="Y11" s="33"/>
      <c r="Z11" s="33" t="s">
        <v>1852</v>
      </c>
      <c r="AA11" s="33"/>
      <c r="AB11" s="33"/>
      <c r="AC11" s="32"/>
      <c r="AD11" s="32"/>
      <c r="AE11" s="32"/>
      <c r="AF11" s="32"/>
      <c r="AG11" s="32"/>
      <c r="AH11" s="32"/>
      <c r="AI11" s="32"/>
      <c r="AJ11" s="33"/>
      <c r="AK11" s="33"/>
      <c r="AL11" s="33" t="b">
        <v>0</v>
      </c>
      <c r="AM11" s="33"/>
      <c r="AN11" s="33" t="s">
        <v>1342</v>
      </c>
      <c r="AO11" s="33"/>
      <c r="AP11" s="33" t="b">
        <v>1</v>
      </c>
      <c r="AQ11" s="33"/>
      <c r="AR11" s="33"/>
      <c r="AS11" s="32"/>
      <c r="AT11" s="32"/>
      <c r="AU11" s="32"/>
      <c r="AV11" s="32"/>
      <c r="AW11" s="32"/>
      <c r="AX11" s="32"/>
      <c r="AY11" s="32"/>
      <c r="AZ11" s="33"/>
      <c r="BA11" s="33"/>
      <c r="BB11" s="33" t="b">
        <v>0</v>
      </c>
      <c r="BC11" s="33"/>
      <c r="BD11" s="33" t="s">
        <v>616</v>
      </c>
      <c r="BE11" s="33"/>
      <c r="BF11" s="33" t="b">
        <v>1</v>
      </c>
      <c r="BG11" s="33"/>
      <c r="BH11" s="33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32"/>
      <c r="DQ11" s="32"/>
      <c r="DR11" s="32"/>
      <c r="DS11" s="32"/>
      <c r="DT11" s="32"/>
      <c r="DU11" s="32"/>
      <c r="DV11" s="32"/>
      <c r="DW11" s="32"/>
      <c r="DX11" s="32"/>
    </row>
    <row r="12" spans="1:130" s="31" customFormat="1" x14ac:dyDescent="0.3"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>
        <v>0.35</v>
      </c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>
        <v>0.5</v>
      </c>
      <c r="AK12" s="39"/>
      <c r="AL12" s="39"/>
      <c r="AM12" s="39"/>
      <c r="AN12" s="39"/>
      <c r="AO12" s="39"/>
      <c r="AP12" s="39"/>
      <c r="AQ12" s="39"/>
      <c r="AR12" s="39">
        <v>1.54</v>
      </c>
      <c r="AS12" s="39"/>
      <c r="AT12" s="39"/>
      <c r="AU12" s="39"/>
      <c r="AV12" s="39"/>
      <c r="AW12" s="39"/>
      <c r="AX12" s="39"/>
      <c r="AY12" s="39"/>
      <c r="AZ12" s="39">
        <v>0.68</v>
      </c>
      <c r="BA12" s="39"/>
      <c r="BB12" s="39"/>
      <c r="BC12" s="39"/>
      <c r="BD12" s="39"/>
      <c r="BE12" s="39"/>
      <c r="BF12" s="39"/>
      <c r="BG12" s="39"/>
      <c r="BH12" s="39">
        <v>1.64</v>
      </c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</row>
    <row r="13" spans="1:130" s="31" customFormat="1" x14ac:dyDescent="0.3">
      <c r="L13" s="31">
        <v>4369</v>
      </c>
      <c r="AJ13" s="40">
        <v>9251</v>
      </c>
      <c r="AR13" s="31">
        <v>227</v>
      </c>
      <c r="AZ13" s="31">
        <v>2345</v>
      </c>
      <c r="BH13" s="31">
        <v>555</v>
      </c>
    </row>
    <row r="14" spans="1:130" s="32" customFormat="1" ht="57.6" x14ac:dyDescent="0.3">
      <c r="J14" s="33"/>
      <c r="K14" s="33" t="b">
        <v>1</v>
      </c>
      <c r="L14" s="33" t="s">
        <v>943</v>
      </c>
      <c r="M14" s="33" t="b">
        <v>0</v>
      </c>
      <c r="N14" s="33"/>
      <c r="AH14" s="33"/>
      <c r="AI14" s="33" t="s">
        <v>1855</v>
      </c>
      <c r="AJ14" s="33" t="s">
        <v>612</v>
      </c>
      <c r="AK14" s="33" t="s">
        <v>1858</v>
      </c>
      <c r="AL14" s="33"/>
      <c r="AP14" s="33"/>
      <c r="AQ14" s="33" t="b">
        <v>0</v>
      </c>
      <c r="AR14" s="33" t="s">
        <v>951</v>
      </c>
      <c r="AS14" s="33" t="b">
        <v>1</v>
      </c>
      <c r="AT14" s="33"/>
      <c r="AX14" s="33"/>
      <c r="AY14" s="33" t="s">
        <v>1860</v>
      </c>
      <c r="AZ14" s="33" t="s">
        <v>477</v>
      </c>
      <c r="BA14" s="33" t="s">
        <v>1862</v>
      </c>
      <c r="BB14" s="33"/>
      <c r="BF14" s="33"/>
      <c r="BG14" s="33" t="s">
        <v>1863</v>
      </c>
      <c r="BH14" s="33" t="s">
        <v>461</v>
      </c>
      <c r="BI14" s="33" t="s">
        <v>1866</v>
      </c>
      <c r="BJ14" s="33"/>
    </row>
    <row r="15" spans="1:130" s="31" customFormat="1" x14ac:dyDescent="0.3">
      <c r="C15" s="39"/>
      <c r="M15" s="39"/>
      <c r="N15" s="39">
        <v>0.46</v>
      </c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>
        <v>0.47</v>
      </c>
      <c r="AI15" s="39"/>
      <c r="AJ15" s="39"/>
      <c r="AK15" s="39"/>
      <c r="AL15" s="39">
        <v>1.03</v>
      </c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>
        <v>0.59</v>
      </c>
      <c r="AY15" s="39"/>
      <c r="AZ15" s="39"/>
      <c r="BA15" s="39"/>
      <c r="BB15" s="39">
        <v>1.83</v>
      </c>
      <c r="BC15" s="39"/>
      <c r="BD15" s="39"/>
      <c r="BE15" s="39"/>
      <c r="BF15" s="39">
        <v>0.77</v>
      </c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</row>
    <row r="16" spans="1:130" s="31" customFormat="1" x14ac:dyDescent="0.3">
      <c r="N16" s="31">
        <v>1954</v>
      </c>
      <c r="AH16" s="40">
        <v>8670</v>
      </c>
      <c r="AL16" s="31">
        <v>581</v>
      </c>
      <c r="AX16" s="31">
        <v>2177</v>
      </c>
      <c r="BB16" s="31">
        <v>168</v>
      </c>
      <c r="BF16" s="31">
        <v>455</v>
      </c>
    </row>
    <row r="17" spans="2:128" s="31" customFormat="1" ht="43.2" x14ac:dyDescent="0.3"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3" t="s">
        <v>1848</v>
      </c>
      <c r="N17" s="33" t="s">
        <v>459</v>
      </c>
      <c r="O17" s="33" t="s">
        <v>1849</v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3" t="s">
        <v>1856</v>
      </c>
      <c r="AH17" s="33" t="s">
        <v>467</v>
      </c>
      <c r="AI17" s="33" t="s">
        <v>1857</v>
      </c>
      <c r="AJ17" s="32"/>
      <c r="AK17" s="33" t="b">
        <v>0</v>
      </c>
      <c r="AL17" s="33" t="s">
        <v>934</v>
      </c>
      <c r="AM17" s="33" t="b">
        <v>1</v>
      </c>
      <c r="AN17" s="32"/>
      <c r="AO17" s="32"/>
      <c r="AP17" s="32"/>
      <c r="AQ17" s="32"/>
      <c r="AR17" s="32"/>
      <c r="AS17" s="32"/>
      <c r="AT17" s="32"/>
      <c r="AU17" s="32"/>
      <c r="AV17" s="32"/>
      <c r="AW17" s="33" t="s">
        <v>1855</v>
      </c>
      <c r="AX17" s="33" t="s">
        <v>612</v>
      </c>
      <c r="AY17" s="33" t="s">
        <v>1861</v>
      </c>
      <c r="AZ17" s="32"/>
      <c r="BA17" s="33" t="b">
        <v>1</v>
      </c>
      <c r="BB17" s="33" t="s">
        <v>1030</v>
      </c>
      <c r="BC17" s="33" t="b">
        <v>0</v>
      </c>
      <c r="BD17" s="32"/>
      <c r="BE17" s="33" t="s">
        <v>1864</v>
      </c>
      <c r="BF17" s="33" t="s">
        <v>477</v>
      </c>
      <c r="BG17" s="33" t="s">
        <v>1865</v>
      </c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</row>
    <row r="18" spans="2:128" s="31" customFormat="1" x14ac:dyDescent="0.3">
      <c r="B18" s="39"/>
      <c r="C18" s="39"/>
      <c r="D18" s="39">
        <v>0.16</v>
      </c>
      <c r="E18" s="39"/>
      <c r="F18" s="39"/>
      <c r="G18" s="39"/>
      <c r="H18" s="39"/>
      <c r="I18" s="39"/>
      <c r="J18" s="39">
        <v>0.26</v>
      </c>
      <c r="K18" s="39"/>
      <c r="L18" s="39"/>
      <c r="M18" s="39">
        <v>0.41</v>
      </c>
      <c r="N18" s="39"/>
      <c r="O18" s="39">
        <v>1.61</v>
      </c>
      <c r="P18" s="39"/>
      <c r="Q18" s="39"/>
      <c r="R18" s="39"/>
      <c r="S18" s="39"/>
      <c r="T18" s="39">
        <v>0.18</v>
      </c>
      <c r="U18" s="39"/>
      <c r="V18" s="39"/>
      <c r="W18" s="39"/>
      <c r="X18" s="39"/>
      <c r="Y18" s="39"/>
      <c r="Z18" s="39"/>
      <c r="AA18" s="39"/>
      <c r="AB18" s="39">
        <v>2.25</v>
      </c>
      <c r="AC18" s="39"/>
      <c r="AD18" s="39"/>
      <c r="AE18" s="39"/>
      <c r="AF18" s="39"/>
      <c r="AG18" s="39">
        <v>0.45</v>
      </c>
      <c r="AH18" s="39"/>
      <c r="AI18" s="39">
        <v>1.1299999999999999</v>
      </c>
      <c r="AJ18" s="39"/>
      <c r="AK18" s="39">
        <v>0.57999999999999996</v>
      </c>
      <c r="AL18" s="39"/>
      <c r="AM18" s="39">
        <v>3.72</v>
      </c>
      <c r="AN18" s="39"/>
      <c r="AO18" s="39"/>
      <c r="AP18" s="39">
        <v>0.1</v>
      </c>
      <c r="AQ18" s="39"/>
      <c r="AR18" s="39"/>
      <c r="AS18" s="39"/>
      <c r="AT18" s="39">
        <v>2.63</v>
      </c>
      <c r="AU18" s="39"/>
      <c r="AV18" s="39"/>
      <c r="AW18" s="39">
        <v>0.54</v>
      </c>
      <c r="AX18" s="39"/>
      <c r="AY18" s="39">
        <v>1.97</v>
      </c>
      <c r="AZ18" s="39"/>
      <c r="BA18" s="39">
        <v>0.09</v>
      </c>
      <c r="BB18" s="39"/>
      <c r="BC18" s="39">
        <v>3.28</v>
      </c>
      <c r="BD18" s="39"/>
      <c r="BE18" s="39">
        <v>0.34</v>
      </c>
      <c r="BF18" s="39"/>
      <c r="BG18" s="39">
        <v>1.64</v>
      </c>
      <c r="BH18" s="39"/>
      <c r="BI18" s="39"/>
      <c r="BJ18" s="39">
        <v>5.63</v>
      </c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</row>
    <row r="19" spans="2:128" s="31" customFormat="1" x14ac:dyDescent="0.3">
      <c r="D19" s="31" t="s">
        <v>319</v>
      </c>
      <c r="G19" s="40"/>
      <c r="J19" s="31">
        <v>2415</v>
      </c>
      <c r="L19" s="40"/>
      <c r="M19" s="31">
        <v>1879</v>
      </c>
      <c r="N19" s="40"/>
      <c r="O19" s="31" t="s">
        <v>319</v>
      </c>
      <c r="S19" s="40"/>
      <c r="T19" s="31" t="s">
        <v>319</v>
      </c>
      <c r="V19" s="40"/>
      <c r="X19" s="40"/>
      <c r="AB19" s="40">
        <v>78</v>
      </c>
      <c r="AG19" s="31">
        <v>8439</v>
      </c>
      <c r="AI19" s="40">
        <v>231</v>
      </c>
      <c r="AK19" s="31" t="s">
        <v>319</v>
      </c>
      <c r="AL19" s="40"/>
      <c r="AM19" s="31">
        <v>84</v>
      </c>
      <c r="AP19" s="31" t="s">
        <v>319</v>
      </c>
      <c r="AR19" s="40"/>
      <c r="AT19" s="31">
        <v>129</v>
      </c>
      <c r="AW19" s="31">
        <v>2092</v>
      </c>
      <c r="AY19" s="31" t="s">
        <v>319</v>
      </c>
      <c r="BA19" s="31" t="s">
        <v>319</v>
      </c>
      <c r="BC19" s="31">
        <v>92</v>
      </c>
      <c r="BD19" s="40"/>
      <c r="BE19" s="31" t="s">
        <v>319</v>
      </c>
      <c r="BG19" s="31">
        <v>150</v>
      </c>
      <c r="BJ19" s="31">
        <v>100</v>
      </c>
    </row>
    <row r="20" spans="2:128" s="31" customFormat="1" x14ac:dyDescent="0.3">
      <c r="B20" s="37"/>
      <c r="C20" s="32"/>
      <c r="D20" s="32"/>
      <c r="E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</row>
    <row r="21" spans="2:128" s="31" customFormat="1" x14ac:dyDescent="0.3">
      <c r="E21" s="41"/>
    </row>
    <row r="22" spans="2:128" s="31" customFormat="1" x14ac:dyDescent="0.3"/>
    <row r="23" spans="2:128" s="31" customFormat="1" x14ac:dyDescent="0.3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</row>
    <row r="24" spans="2:128" s="31" customFormat="1" x14ac:dyDescent="0.3"/>
  </sheetData>
  <conditionalFormatting sqref="A21:XFD22 A15:XFD16 A12:XFD13 A6:XFD7 A3:XFD4 A9:BC10 BE9:XFD10 A18:XFD19">
    <cfRule type="expression" dxfId="0" priority="2">
      <formula>A3&lt;&gt;""</formula>
    </cfRule>
  </conditionalFormatting>
  <conditionalFormatting sqref="A3:XFD3 A6:XFD6 A12:XFD12 A15:XFD15 A21:XFD21 A9:BC9 BE9:XFD9 A18:XFD18">
    <cfRule type="colorScale" priority="1">
      <colorScale>
        <cfvo type="num" val="0"/>
        <cfvo type="percentile" val="50"/>
        <cfvo type="num" val="1"/>
        <color rgb="FF00B050"/>
        <color rgb="FFFFEB84"/>
        <color rgb="FFFF0000"/>
      </colorScale>
    </cfRule>
  </conditionalFormatting>
  <pageMargins left="0.7" right="0.7" top="0.75" bottom="0.75" header="0.3" footer="0.3"/>
  <headerFooter>
    <oddFooter>&amp;L_x000D_&amp;1#&amp;"Calibri"&amp;11&amp;K000000 Non-Confidential - Anyone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D4CD0-1B2C-478D-B2CE-2EA1378F95DD}">
  <sheetPr codeName="Sheet16">
    <tabColor theme="6" tint="0.39997558519241921"/>
  </sheetPr>
  <dimension ref="A1:D19"/>
  <sheetViews>
    <sheetView workbookViewId="0">
      <selection activeCell="D7" sqref="D7:D19"/>
    </sheetView>
  </sheetViews>
  <sheetFormatPr defaultRowHeight="14.4" x14ac:dyDescent="0.3"/>
  <cols>
    <col min="2" max="2" width="16.109375" customWidth="1"/>
    <col min="3" max="3" width="16.6640625" customWidth="1"/>
    <col min="4" max="4" width="46.33203125" style="5" customWidth="1"/>
  </cols>
  <sheetData>
    <row r="1" spans="1:4" x14ac:dyDescent="0.3">
      <c r="C1" t="s">
        <v>272</v>
      </c>
      <c r="D1" s="5" t="s">
        <v>93</v>
      </c>
    </row>
    <row r="2" spans="1:4" x14ac:dyDescent="0.3">
      <c r="A2" t="s">
        <v>273</v>
      </c>
      <c r="B2" t="s">
        <v>271</v>
      </c>
      <c r="C2" t="s">
        <v>264</v>
      </c>
      <c r="D2" s="5" t="str">
        <f>"var_TARGET &lt;- c('"&amp;$C$2&amp;"')"</f>
        <v>var_TARGET &lt;- c('PercDiff')</v>
      </c>
    </row>
    <row r="6" spans="1:4" x14ac:dyDescent="0.3">
      <c r="A6" t="s">
        <v>274</v>
      </c>
      <c r="B6" t="s">
        <v>275</v>
      </c>
    </row>
    <row r="7" spans="1:4" x14ac:dyDescent="0.3">
      <c r="C7" t="s">
        <v>278</v>
      </c>
      <c r="D7" s="5" t="str">
        <f>"'"&amp;$C7&amp;"'"</f>
        <v>'OCC_CODE'</v>
      </c>
    </row>
    <row r="8" spans="1:4" x14ac:dyDescent="0.3">
      <c r="C8" t="s">
        <v>22</v>
      </c>
      <c r="D8" s="5" t="str">
        <f>IF(C8="",")",",'"&amp;$C8&amp;"'")</f>
        <v>,'PHAGE'</v>
      </c>
    </row>
    <row r="9" spans="1:4" x14ac:dyDescent="0.3">
      <c r="C9" t="s">
        <v>279</v>
      </c>
      <c r="D9" s="5" t="str">
        <f t="shared" ref="D9:D19" si="0">IF(C9="",")",",'"&amp;$C9&amp;"'")</f>
        <v>,'CLASSUSE'</v>
      </c>
    </row>
    <row r="10" spans="1:4" x14ac:dyDescent="0.3">
      <c r="C10" t="s">
        <v>10</v>
      </c>
      <c r="D10" s="5" t="str">
        <f t="shared" si="0"/>
        <v>,'VOL_XS'</v>
      </c>
    </row>
    <row r="11" spans="1:4" x14ac:dyDescent="0.3">
      <c r="C11" t="s">
        <v>280</v>
      </c>
      <c r="D11" s="5" t="str">
        <f t="shared" si="0"/>
        <v>,'LIC_TYPE'</v>
      </c>
    </row>
    <row r="12" spans="1:4" x14ac:dyDescent="0.3">
      <c r="C12" t="s">
        <v>281</v>
      </c>
      <c r="D12" s="5" t="str">
        <f t="shared" si="0"/>
        <v>,'LIC_YRS'</v>
      </c>
    </row>
    <row r="13" spans="1:4" x14ac:dyDescent="0.3">
      <c r="C13" t="s">
        <v>11</v>
      </c>
      <c r="D13" s="5" t="str">
        <f t="shared" si="0"/>
        <v>,'GARAGED'</v>
      </c>
    </row>
    <row r="14" spans="1:4" x14ac:dyDescent="0.3">
      <c r="C14" t="s">
        <v>282</v>
      </c>
      <c r="D14" s="5" t="str">
        <f t="shared" si="0"/>
        <v>,'CARGROUP'</v>
      </c>
    </row>
    <row r="15" spans="1:4" x14ac:dyDescent="0.3">
      <c r="C15" t="s">
        <v>12</v>
      </c>
      <c r="D15" s="5" t="str">
        <f t="shared" si="0"/>
        <v>,'MILEAGE'</v>
      </c>
    </row>
    <row r="16" spans="1:4" x14ac:dyDescent="0.3">
      <c r="C16" t="s">
        <v>13</v>
      </c>
      <c r="D16" s="5" t="str">
        <f t="shared" si="0"/>
        <v>,'VEH_VAL'</v>
      </c>
    </row>
    <row r="17" spans="3:4" x14ac:dyDescent="0.3">
      <c r="C17" t="s">
        <v>14</v>
      </c>
      <c r="D17" s="5" t="str">
        <f t="shared" si="0"/>
        <v>,'VEH_YOM'</v>
      </c>
    </row>
    <row r="18" spans="3:4" x14ac:dyDescent="0.3">
      <c r="C18" t="s">
        <v>283</v>
      </c>
      <c r="D18" s="5" t="str">
        <f t="shared" si="0"/>
        <v>,'VEH_TRANSM'</v>
      </c>
    </row>
    <row r="19" spans="3:4" x14ac:dyDescent="0.3">
      <c r="C19" t="s">
        <v>285</v>
      </c>
      <c r="D19" s="5" t="str">
        <f t="shared" si="0"/>
        <v>,'AIL_Area_Grp'</v>
      </c>
    </row>
  </sheetData>
  <pageMargins left="0.7" right="0.7" top="0.75" bottom="0.75" header="0.3" footer="0.3"/>
  <headerFooter>
    <oddFooter>&amp;L_x000D_&amp;1#&amp;"Calibri"&amp;11&amp;K000000 Non-Confidential - Anyone</oddFooter>
  </headerFooter>
</worksheet>
</file>

<file path=docMetadata/LabelInfo.xml><?xml version="1.0" encoding="utf-8"?>
<clbl:labelList xmlns:clbl="http://schemas.microsoft.com/office/2020/mipLabelMetadata">
  <clbl:label id="{b4f8c961-cfce-4b79-9dcb-2dc1eb2d4214}" enabled="1" method="Privileged" siteId="{2a01fed0-99fe-4589-8d1f-8e7c1ca91bf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OVERVIEW</vt:lpstr>
      <vt:lpstr>1a. Original Dataset Format</vt:lpstr>
      <vt:lpstr>1. Set Files</vt:lpstr>
      <vt:lpstr>1b. Dataset in R</vt:lpstr>
      <vt:lpstr>2. Data Constraints</vt:lpstr>
      <vt:lpstr>2b. Dataset in R</vt:lpstr>
      <vt:lpstr>3a. Character Columns to Hotkey</vt:lpstr>
      <vt:lpstr>3b. Columns to Drop</vt:lpstr>
      <vt:lpstr>3c. Format Columns</vt:lpstr>
      <vt:lpstr>3d. Feature Engineering</vt:lpstr>
      <vt:lpstr>4. New Dataset</vt:lpstr>
      <vt:lpstr>6. Factors to Include</vt:lpstr>
      <vt:lpstr>8a. Rename</vt:lpstr>
      <vt:lpstr>8b. Assignment</vt:lpstr>
      <vt:lpstr>Tree</vt:lpstr>
      <vt:lpstr>9. RF</vt:lpstr>
      <vt:lpstr>NumLevels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Kieran Clark</dc:creator>
  <cp:lastModifiedBy>James Yarney</cp:lastModifiedBy>
  <dcterms:created xsi:type="dcterms:W3CDTF">2020-06-08T09:01:06Z</dcterms:created>
  <dcterms:modified xsi:type="dcterms:W3CDTF">2024-08-22T06:27:44Z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INKTEK-CHUNK-1">
    <vt:lpwstr>010048{"F":5,"I":"CA1F-67CB-5048-4A04","M":"6f207bd07d8584f116c86523a2390128"}H4sIAAAAAAAEAKtW8snMyy5WsoquVvJUslIyN7c01bV0cXbWNTY3tNQ1NDVyUdJRCgDK6Onph6TmpOYmlmQmF8e7JJYkxrvlF8UH6SUXlynVxtYCAFaxmtFKAAAA</vt:lpwstr>
  </property>
</Properties>
</file>